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3F6CFE75-7857-4E65-8AD0-513E1E8B4F7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4" i="3" l="1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I99" i="3"/>
  <c r="E99" i="3"/>
  <c r="D99" i="3"/>
  <c r="B99" i="3"/>
  <c r="J98" i="3"/>
  <c r="E98" i="3"/>
  <c r="I98" i="3" s="1"/>
  <c r="D98" i="3"/>
  <c r="F98" i="3" s="1"/>
  <c r="B98" i="3"/>
  <c r="J97" i="3"/>
  <c r="E97" i="3"/>
  <c r="I97" i="3" s="1"/>
  <c r="D97" i="3"/>
  <c r="F97" i="3" s="1"/>
  <c r="B97" i="3"/>
  <c r="J96" i="3"/>
  <c r="F96" i="3"/>
  <c r="I40" i="4" s="1"/>
  <c r="E96" i="3"/>
  <c r="I96" i="3" s="1"/>
  <c r="J40" i="4" s="1"/>
  <c r="D96" i="3"/>
  <c r="B96" i="3"/>
  <c r="J95" i="3"/>
  <c r="E95" i="3"/>
  <c r="I95" i="3" s="1"/>
  <c r="D95" i="3"/>
  <c r="B95" i="3"/>
  <c r="J94" i="3"/>
  <c r="I94" i="3"/>
  <c r="E94" i="3"/>
  <c r="D94" i="3"/>
  <c r="B94" i="3"/>
  <c r="J93" i="3"/>
  <c r="E93" i="3"/>
  <c r="I93" i="3" s="1"/>
  <c r="D93" i="3"/>
  <c r="B93" i="3"/>
  <c r="J92" i="3"/>
  <c r="E92" i="3"/>
  <c r="I92" i="3" s="1"/>
  <c r="J39" i="4" s="1"/>
  <c r="D92" i="3"/>
  <c r="F92" i="3" s="1"/>
  <c r="B92" i="3"/>
  <c r="J91" i="3"/>
  <c r="E91" i="3"/>
  <c r="I91" i="3" s="1"/>
  <c r="D91" i="3"/>
  <c r="B91" i="3"/>
  <c r="J90" i="3"/>
  <c r="E90" i="3"/>
  <c r="I90" i="3" s="1"/>
  <c r="D90" i="3"/>
  <c r="F90" i="3" s="1"/>
  <c r="G90" i="3" s="1"/>
  <c r="H90" i="3" s="1"/>
  <c r="B90" i="3"/>
  <c r="J89" i="3"/>
  <c r="F89" i="3"/>
  <c r="G89" i="3" s="1"/>
  <c r="H89" i="3" s="1"/>
  <c r="E89" i="3"/>
  <c r="I89" i="3" s="1"/>
  <c r="D89" i="3"/>
  <c r="B89" i="3"/>
  <c r="J88" i="3"/>
  <c r="E88" i="3"/>
  <c r="I88" i="3" s="1"/>
  <c r="J38" i="4" s="1"/>
  <c r="D88" i="3"/>
  <c r="F88" i="3" s="1"/>
  <c r="I38" i="4" s="1"/>
  <c r="B88" i="3"/>
  <c r="J87" i="3"/>
  <c r="F87" i="3"/>
  <c r="G87" i="3" s="1"/>
  <c r="H87" i="3" s="1"/>
  <c r="E87" i="3"/>
  <c r="I87" i="3" s="1"/>
  <c r="D87" i="3"/>
  <c r="B87" i="3"/>
  <c r="J86" i="3"/>
  <c r="E86" i="3"/>
  <c r="I86" i="3" s="1"/>
  <c r="D86" i="3"/>
  <c r="F86" i="3" s="1"/>
  <c r="B86" i="3"/>
  <c r="J85" i="3"/>
  <c r="G85" i="3"/>
  <c r="H85" i="3" s="1"/>
  <c r="F85" i="3"/>
  <c r="E85" i="3"/>
  <c r="I85" i="3" s="1"/>
  <c r="D85" i="3"/>
  <c r="B85" i="3"/>
  <c r="J84" i="3"/>
  <c r="E84" i="3"/>
  <c r="I84" i="3" s="1"/>
  <c r="J37" i="4" s="1"/>
  <c r="D84" i="3"/>
  <c r="B84" i="3"/>
  <c r="J83" i="3"/>
  <c r="E83" i="3"/>
  <c r="I83" i="3" s="1"/>
  <c r="D83" i="3"/>
  <c r="F83" i="3" s="1"/>
  <c r="B83" i="3"/>
  <c r="J82" i="3"/>
  <c r="E82" i="3"/>
  <c r="I82" i="3" s="1"/>
  <c r="D82" i="3"/>
  <c r="F82" i="3" s="1"/>
  <c r="B82" i="3"/>
  <c r="J81" i="3"/>
  <c r="E81" i="3"/>
  <c r="I81" i="3" s="1"/>
  <c r="D81" i="3"/>
  <c r="F81" i="3" s="1"/>
  <c r="G81" i="3" s="1"/>
  <c r="H81" i="3" s="1"/>
  <c r="B81" i="3"/>
  <c r="J80" i="3"/>
  <c r="E80" i="3"/>
  <c r="I80" i="3" s="1"/>
  <c r="D80" i="3"/>
  <c r="F80" i="3" s="1"/>
  <c r="B80" i="3"/>
  <c r="J79" i="3"/>
  <c r="E79" i="3"/>
  <c r="I79" i="3" s="1"/>
  <c r="J36" i="4" s="1"/>
  <c r="D79" i="3"/>
  <c r="B79" i="3"/>
  <c r="K78" i="3"/>
  <c r="L78" i="3" s="1"/>
  <c r="M78" i="3" s="1"/>
  <c r="J78" i="3"/>
  <c r="I78" i="3"/>
  <c r="G78" i="3"/>
  <c r="H78" i="3" s="1"/>
  <c r="F78" i="3"/>
  <c r="E78" i="3"/>
  <c r="D78" i="3"/>
  <c r="B78" i="3"/>
  <c r="J77" i="3"/>
  <c r="E77" i="3"/>
  <c r="I77" i="3" s="1"/>
  <c r="D77" i="3"/>
  <c r="F77" i="3" s="1"/>
  <c r="B77" i="3"/>
  <c r="J76" i="3"/>
  <c r="E76" i="3"/>
  <c r="I76" i="3" s="1"/>
  <c r="D76" i="3"/>
  <c r="F76" i="3" s="1"/>
  <c r="G76" i="3" s="1"/>
  <c r="H76" i="3" s="1"/>
  <c r="B76" i="3"/>
  <c r="K75" i="3"/>
  <c r="J75" i="3"/>
  <c r="E75" i="3"/>
  <c r="I75" i="3" s="1"/>
  <c r="J35" i="4" s="1"/>
  <c r="D75" i="3"/>
  <c r="B75" i="3"/>
  <c r="J74" i="3"/>
  <c r="E74" i="3"/>
  <c r="I74" i="3" s="1"/>
  <c r="D74" i="3"/>
  <c r="B74" i="3"/>
  <c r="J73" i="3"/>
  <c r="E73" i="3"/>
  <c r="I73" i="3" s="1"/>
  <c r="D73" i="3"/>
  <c r="F73" i="3" s="1"/>
  <c r="G73" i="3" s="1"/>
  <c r="H73" i="3" s="1"/>
  <c r="B73" i="3"/>
  <c r="J72" i="3"/>
  <c r="I72" i="3"/>
  <c r="E72" i="3"/>
  <c r="D72" i="3"/>
  <c r="B72" i="3"/>
  <c r="J71" i="3"/>
  <c r="E71" i="3"/>
  <c r="I71" i="3" s="1"/>
  <c r="J34" i="4" s="1"/>
  <c r="D71" i="3"/>
  <c r="F71" i="3" s="1"/>
  <c r="I34" i="4" s="1"/>
  <c r="B71" i="3"/>
  <c r="J70" i="3"/>
  <c r="E70" i="3"/>
  <c r="I70" i="3" s="1"/>
  <c r="D70" i="3"/>
  <c r="B70" i="3"/>
  <c r="K69" i="3"/>
  <c r="L69" i="3" s="1"/>
  <c r="J69" i="3"/>
  <c r="E69" i="3"/>
  <c r="I69" i="3" s="1"/>
  <c r="D69" i="3"/>
  <c r="B69" i="3"/>
  <c r="J68" i="3"/>
  <c r="E68" i="3"/>
  <c r="I68" i="3" s="1"/>
  <c r="J33" i="4" s="1"/>
  <c r="D68" i="3"/>
  <c r="F68" i="3" s="1"/>
  <c r="I33" i="4" s="1"/>
  <c r="B68" i="3"/>
  <c r="J67" i="3"/>
  <c r="E67" i="3"/>
  <c r="I67" i="3" s="1"/>
  <c r="D67" i="3"/>
  <c r="B67" i="3"/>
  <c r="J66" i="3"/>
  <c r="E66" i="3"/>
  <c r="I66" i="3" s="1"/>
  <c r="D66" i="3"/>
  <c r="B66" i="3"/>
  <c r="K65" i="3"/>
  <c r="J65" i="3"/>
  <c r="F65" i="3"/>
  <c r="I32" i="4" s="1"/>
  <c r="E65" i="3"/>
  <c r="I65" i="3" s="1"/>
  <c r="J32" i="4" s="1"/>
  <c r="D65" i="3"/>
  <c r="B65" i="3"/>
  <c r="J64" i="3"/>
  <c r="E64" i="3"/>
  <c r="I64" i="3" s="1"/>
  <c r="D64" i="3"/>
  <c r="F64" i="3" s="1"/>
  <c r="B64" i="3"/>
  <c r="J63" i="3"/>
  <c r="E63" i="3"/>
  <c r="I63" i="3" s="1"/>
  <c r="D63" i="3"/>
  <c r="F63" i="3" s="1"/>
  <c r="G63" i="3" s="1"/>
  <c r="H63" i="3" s="1"/>
  <c r="B63" i="3"/>
  <c r="K62" i="3"/>
  <c r="J62" i="3"/>
  <c r="F62" i="3"/>
  <c r="I31" i="4" s="1"/>
  <c r="E62" i="3"/>
  <c r="I62" i="3" s="1"/>
  <c r="J31" i="4" s="1"/>
  <c r="D62" i="3"/>
  <c r="B62" i="3"/>
  <c r="J61" i="3"/>
  <c r="E61" i="3"/>
  <c r="I61" i="3" s="1"/>
  <c r="D61" i="3"/>
  <c r="F61" i="3" s="1"/>
  <c r="B61" i="3"/>
  <c r="J60" i="3"/>
  <c r="E60" i="3"/>
  <c r="I60" i="3" s="1"/>
  <c r="D60" i="3"/>
  <c r="F60" i="3" s="1"/>
  <c r="G60" i="3" s="1"/>
  <c r="H60" i="3" s="1"/>
  <c r="B60" i="3"/>
  <c r="J59" i="3"/>
  <c r="E59" i="3"/>
  <c r="I59" i="3" s="1"/>
  <c r="J30" i="4" s="1"/>
  <c r="D59" i="3"/>
  <c r="B59" i="3"/>
  <c r="J58" i="3"/>
  <c r="E58" i="3"/>
  <c r="I58" i="3" s="1"/>
  <c r="D58" i="3"/>
  <c r="F58" i="3" s="1"/>
  <c r="G58" i="3" s="1"/>
  <c r="H58" i="3" s="1"/>
  <c r="B58" i="3"/>
  <c r="J57" i="3"/>
  <c r="I57" i="3"/>
  <c r="E57" i="3"/>
  <c r="D57" i="3"/>
  <c r="B57" i="3"/>
  <c r="J56" i="3"/>
  <c r="E56" i="3"/>
  <c r="I56" i="3" s="1"/>
  <c r="D56" i="3"/>
  <c r="B56" i="3"/>
  <c r="J55" i="3"/>
  <c r="E55" i="3"/>
  <c r="I55" i="3" s="1"/>
  <c r="D55" i="3"/>
  <c r="B55" i="3"/>
  <c r="J54" i="3"/>
  <c r="F54" i="3"/>
  <c r="I29" i="4" s="1"/>
  <c r="E54" i="3"/>
  <c r="I54" i="3" s="1"/>
  <c r="J29" i="4" s="1"/>
  <c r="D54" i="3"/>
  <c r="B54" i="3"/>
  <c r="J53" i="3"/>
  <c r="E53" i="3"/>
  <c r="I53" i="3" s="1"/>
  <c r="D53" i="3"/>
  <c r="B53" i="3"/>
  <c r="J52" i="3"/>
  <c r="E52" i="3"/>
  <c r="I52" i="3" s="1"/>
  <c r="D52" i="3"/>
  <c r="B52" i="3"/>
  <c r="J51" i="3"/>
  <c r="E51" i="3"/>
  <c r="I51" i="3" s="1"/>
  <c r="D51" i="3"/>
  <c r="B51" i="3"/>
  <c r="J50" i="3"/>
  <c r="E50" i="3"/>
  <c r="I50" i="3" s="1"/>
  <c r="J28" i="4" s="1"/>
  <c r="D50" i="3"/>
  <c r="F50" i="3" s="1"/>
  <c r="B50" i="3"/>
  <c r="J49" i="3"/>
  <c r="E49" i="3"/>
  <c r="I49" i="3" s="1"/>
  <c r="D49" i="3"/>
  <c r="B49" i="3"/>
  <c r="J48" i="3"/>
  <c r="E48" i="3"/>
  <c r="I48" i="3" s="1"/>
  <c r="D48" i="3"/>
  <c r="F48" i="3" s="1"/>
  <c r="B48" i="3"/>
  <c r="J47" i="3"/>
  <c r="I47" i="3"/>
  <c r="J27" i="4" s="1"/>
  <c r="E47" i="3"/>
  <c r="D47" i="3"/>
  <c r="B47" i="3"/>
  <c r="K46" i="3"/>
  <c r="J46" i="3"/>
  <c r="I46" i="3"/>
  <c r="E46" i="3"/>
  <c r="D46" i="3"/>
  <c r="F46" i="3" s="1"/>
  <c r="B46" i="3"/>
  <c r="J45" i="3"/>
  <c r="E45" i="3"/>
  <c r="I45" i="3" s="1"/>
  <c r="J26" i="4" s="1"/>
  <c r="D45" i="3"/>
  <c r="F45" i="3" s="1"/>
  <c r="B45" i="3"/>
  <c r="J44" i="3"/>
  <c r="G44" i="3"/>
  <c r="H44" i="3" s="1"/>
  <c r="E44" i="3"/>
  <c r="I44" i="3" s="1"/>
  <c r="D44" i="3"/>
  <c r="F44" i="3" s="1"/>
  <c r="B44" i="3"/>
  <c r="J43" i="3"/>
  <c r="E43" i="3"/>
  <c r="I43" i="3" s="1"/>
  <c r="D43" i="3"/>
  <c r="B43" i="3"/>
  <c r="J42" i="3"/>
  <c r="F42" i="3"/>
  <c r="I25" i="4" s="1"/>
  <c r="E42" i="3"/>
  <c r="I42" i="3" s="1"/>
  <c r="J25" i="4" s="1"/>
  <c r="D42" i="3"/>
  <c r="B42" i="3"/>
  <c r="J41" i="3"/>
  <c r="E41" i="3"/>
  <c r="I41" i="3" s="1"/>
  <c r="D41" i="3"/>
  <c r="F41" i="3" s="1"/>
  <c r="G41" i="3" s="1"/>
  <c r="H41" i="3" s="1"/>
  <c r="B41" i="3"/>
  <c r="J40" i="3"/>
  <c r="E40" i="3"/>
  <c r="I40" i="3" s="1"/>
  <c r="D40" i="3"/>
  <c r="F40" i="3" s="1"/>
  <c r="B40" i="3"/>
  <c r="J39" i="3"/>
  <c r="E39" i="3"/>
  <c r="I39" i="3" s="1"/>
  <c r="J24" i="4" s="1"/>
  <c r="D39" i="3"/>
  <c r="F39" i="3" s="1"/>
  <c r="I24" i="4" s="1"/>
  <c r="B39" i="3"/>
  <c r="J38" i="3"/>
  <c r="E38" i="3"/>
  <c r="I38" i="3" s="1"/>
  <c r="D38" i="3"/>
  <c r="B38" i="3"/>
  <c r="J37" i="3"/>
  <c r="E37" i="3"/>
  <c r="I37" i="3" s="1"/>
  <c r="D37" i="3"/>
  <c r="F37" i="3" s="1"/>
  <c r="G37" i="3" s="1"/>
  <c r="H37" i="3" s="1"/>
  <c r="B37" i="3"/>
  <c r="J36" i="3"/>
  <c r="E36" i="3"/>
  <c r="I36" i="3" s="1"/>
  <c r="J23" i="4" s="1"/>
  <c r="D36" i="3"/>
  <c r="F36" i="3" s="1"/>
  <c r="I23" i="4" s="1"/>
  <c r="B36" i="3"/>
  <c r="K35" i="3"/>
  <c r="J35" i="3"/>
  <c r="E35" i="3"/>
  <c r="I35" i="3" s="1"/>
  <c r="D35" i="3"/>
  <c r="B35" i="3"/>
  <c r="J34" i="3"/>
  <c r="E34" i="3"/>
  <c r="I34" i="3" s="1"/>
  <c r="D34" i="3"/>
  <c r="F34" i="3" s="1"/>
  <c r="B34" i="3"/>
  <c r="J33" i="3"/>
  <c r="E33" i="3"/>
  <c r="I33" i="3" s="1"/>
  <c r="J22" i="4" s="1"/>
  <c r="D33" i="3"/>
  <c r="F33" i="3" s="1"/>
  <c r="I22" i="4" s="1"/>
  <c r="B33" i="3"/>
  <c r="K32" i="3"/>
  <c r="J32" i="3"/>
  <c r="E32" i="3"/>
  <c r="I32" i="3" s="1"/>
  <c r="D32" i="3"/>
  <c r="F32" i="3" s="1"/>
  <c r="B32" i="3"/>
  <c r="J31" i="3"/>
  <c r="E31" i="3"/>
  <c r="I31" i="3" s="1"/>
  <c r="D31" i="3"/>
  <c r="B31" i="3"/>
  <c r="J30" i="3"/>
  <c r="E30" i="3"/>
  <c r="I30" i="3" s="1"/>
  <c r="J21" i="4" s="1"/>
  <c r="D30" i="3"/>
  <c r="B30" i="3"/>
  <c r="J29" i="3"/>
  <c r="E29" i="3"/>
  <c r="I29" i="3" s="1"/>
  <c r="D29" i="3"/>
  <c r="B29" i="3"/>
  <c r="K28" i="3"/>
  <c r="J28" i="3"/>
  <c r="I28" i="3"/>
  <c r="J20" i="4" s="1"/>
  <c r="E28" i="3"/>
  <c r="D28" i="3"/>
  <c r="F28" i="3" s="1"/>
  <c r="I20" i="4" s="1"/>
  <c r="B28" i="3"/>
  <c r="J27" i="3"/>
  <c r="E27" i="3"/>
  <c r="I27" i="3" s="1"/>
  <c r="D27" i="3"/>
  <c r="F27" i="3" s="1"/>
  <c r="B27" i="3"/>
  <c r="J26" i="3"/>
  <c r="E26" i="3"/>
  <c r="I26" i="3" s="1"/>
  <c r="J19" i="4" s="1"/>
  <c r="D26" i="3"/>
  <c r="B26" i="3"/>
  <c r="J25" i="3"/>
  <c r="H25" i="3"/>
  <c r="F25" i="3"/>
  <c r="G25" i="3" s="1"/>
  <c r="E25" i="3"/>
  <c r="I25" i="3" s="1"/>
  <c r="D25" i="3"/>
  <c r="B25" i="3"/>
  <c r="J24" i="3"/>
  <c r="E24" i="3"/>
  <c r="I24" i="3" s="1"/>
  <c r="J18" i="4" s="1"/>
  <c r="D24" i="3"/>
  <c r="B24" i="3"/>
  <c r="J23" i="3"/>
  <c r="I23" i="3"/>
  <c r="E23" i="3"/>
  <c r="D23" i="3"/>
  <c r="B23" i="3"/>
  <c r="J22" i="3"/>
  <c r="E22" i="3"/>
  <c r="I22" i="3" s="1"/>
  <c r="J17" i="4" s="1"/>
  <c r="D22" i="3"/>
  <c r="F22" i="3" s="1"/>
  <c r="I17" i="4" s="1"/>
  <c r="B22" i="3"/>
  <c r="K21" i="3"/>
  <c r="J21" i="3"/>
  <c r="I21" i="3"/>
  <c r="E21" i="3"/>
  <c r="D21" i="3"/>
  <c r="F21" i="3" s="1"/>
  <c r="G21" i="3" s="1"/>
  <c r="H21" i="3" s="1"/>
  <c r="B21" i="3"/>
  <c r="J20" i="3"/>
  <c r="E20" i="3"/>
  <c r="I20" i="3" s="1"/>
  <c r="J16" i="4" s="1"/>
  <c r="D20" i="3"/>
  <c r="B20" i="3"/>
  <c r="J19" i="3"/>
  <c r="E19" i="3"/>
  <c r="I19" i="3" s="1"/>
  <c r="D19" i="3"/>
  <c r="F19" i="3" s="1"/>
  <c r="B19" i="3"/>
  <c r="K18" i="3"/>
  <c r="J18" i="3"/>
  <c r="L18" i="3" s="1"/>
  <c r="E18" i="3"/>
  <c r="I18" i="3" s="1"/>
  <c r="J15" i="4" s="1"/>
  <c r="D18" i="3"/>
  <c r="B18" i="3"/>
  <c r="J17" i="3"/>
  <c r="E17" i="3"/>
  <c r="I17" i="3" s="1"/>
  <c r="J14" i="4" s="1"/>
  <c r="D17" i="3"/>
  <c r="B17" i="3"/>
  <c r="J16" i="3"/>
  <c r="F16" i="3"/>
  <c r="G16" i="3" s="1"/>
  <c r="H16" i="3" s="1"/>
  <c r="E16" i="3"/>
  <c r="I16" i="3" s="1"/>
  <c r="D16" i="3"/>
  <c r="B16" i="3"/>
  <c r="J15" i="3"/>
  <c r="E15" i="3"/>
  <c r="I15" i="3" s="1"/>
  <c r="J13" i="4" s="1"/>
  <c r="D15" i="3"/>
  <c r="B15" i="3"/>
  <c r="J14" i="3"/>
  <c r="I14" i="3"/>
  <c r="J12" i="4" s="1"/>
  <c r="F14" i="3"/>
  <c r="I12" i="4" s="1"/>
  <c r="E14" i="3"/>
  <c r="D14" i="3"/>
  <c r="B14" i="3"/>
  <c r="J13" i="3"/>
  <c r="E13" i="3"/>
  <c r="I13" i="3" s="1"/>
  <c r="D13" i="3"/>
  <c r="F13" i="3" s="1"/>
  <c r="B13" i="3"/>
  <c r="J12" i="3"/>
  <c r="E12" i="3"/>
  <c r="I12" i="3" s="1"/>
  <c r="J11" i="4" s="1"/>
  <c r="D12" i="3"/>
  <c r="F12" i="3" s="1"/>
  <c r="I11" i="4" s="1"/>
  <c r="B12" i="3"/>
  <c r="K11" i="3"/>
  <c r="J11" i="3"/>
  <c r="E11" i="3"/>
  <c r="I11" i="3" s="1"/>
  <c r="J10" i="4" s="1"/>
  <c r="D11" i="3"/>
  <c r="F11" i="3" s="1"/>
  <c r="I10" i="4" s="1"/>
  <c r="B11" i="3"/>
  <c r="J10" i="3"/>
  <c r="E10" i="3"/>
  <c r="I10" i="3" s="1"/>
  <c r="D10" i="3"/>
  <c r="F10" i="3" s="1"/>
  <c r="G10" i="3" s="1"/>
  <c r="H10" i="3" s="1"/>
  <c r="B10" i="3"/>
  <c r="J9" i="3"/>
  <c r="E9" i="3"/>
  <c r="I9" i="3" s="1"/>
  <c r="J9" i="4" s="1"/>
  <c r="D9" i="3"/>
  <c r="B9" i="3"/>
  <c r="K8" i="3"/>
  <c r="J8" i="3"/>
  <c r="I8" i="3"/>
  <c r="J8" i="4" s="1"/>
  <c r="E8" i="3"/>
  <c r="D8" i="3"/>
  <c r="F8" i="3" s="1"/>
  <c r="I8" i="4" s="1"/>
  <c r="B8" i="3"/>
  <c r="J7" i="3"/>
  <c r="E7" i="3"/>
  <c r="I7" i="3" s="1"/>
  <c r="D7" i="3"/>
  <c r="F7" i="3" s="1"/>
  <c r="B7" i="3"/>
  <c r="J6" i="3"/>
  <c r="E6" i="3"/>
  <c r="I6" i="3" s="1"/>
  <c r="J6" i="4" s="1"/>
  <c r="D6" i="3"/>
  <c r="B6" i="3"/>
  <c r="R5" i="3"/>
  <c r="K5" i="3"/>
  <c r="L5" i="3" s="1"/>
  <c r="M5" i="3" s="1"/>
  <c r="J5" i="3"/>
  <c r="E5" i="3"/>
  <c r="I5" i="3" s="1"/>
  <c r="J5" i="4" s="1"/>
  <c r="D5" i="3"/>
  <c r="F5" i="3" s="1"/>
  <c r="I5" i="4" s="1"/>
  <c r="C5" i="3"/>
  <c r="C6" i="3" s="1"/>
  <c r="B5" i="3"/>
  <c r="C10" i="2"/>
  <c r="K92" i="3" s="1"/>
  <c r="L65" i="3" l="1"/>
  <c r="M65" i="3" s="1"/>
  <c r="L75" i="3"/>
  <c r="K25" i="3"/>
  <c r="L25" i="3" s="1"/>
  <c r="M25" i="3" s="1"/>
  <c r="N25" i="3" s="1"/>
  <c r="G39" i="3"/>
  <c r="H39" i="3" s="1"/>
  <c r="H24" i="4" s="1"/>
  <c r="N24" i="4" s="1"/>
  <c r="K56" i="3"/>
  <c r="L56" i="3" s="1"/>
  <c r="M56" i="3" s="1"/>
  <c r="K72" i="3"/>
  <c r="L72" i="3" s="1"/>
  <c r="K89" i="3"/>
  <c r="L89" i="3" s="1"/>
  <c r="M89" i="3" s="1"/>
  <c r="L8" i="3"/>
  <c r="K53" i="3"/>
  <c r="L53" i="3" s="1"/>
  <c r="M53" i="3" s="1"/>
  <c r="G97" i="3"/>
  <c r="H97" i="3" s="1"/>
  <c r="K15" i="3"/>
  <c r="L15" i="3" s="1"/>
  <c r="M15" i="3" s="1"/>
  <c r="K26" i="3"/>
  <c r="G47" i="3"/>
  <c r="H47" i="3" s="1"/>
  <c r="H27" i="4" s="1"/>
  <c r="N27" i="4" s="1"/>
  <c r="G67" i="3"/>
  <c r="H67" i="3" s="1"/>
  <c r="K76" i="3"/>
  <c r="L76" i="3" s="1"/>
  <c r="M76" i="3" s="1"/>
  <c r="N76" i="3" s="1"/>
  <c r="G83" i="3"/>
  <c r="H83" i="3" s="1"/>
  <c r="K12" i="3"/>
  <c r="L12" i="3" s="1"/>
  <c r="F30" i="3"/>
  <c r="I21" i="4" s="1"/>
  <c r="K60" i="3"/>
  <c r="L60" i="3" s="1"/>
  <c r="M60" i="3" s="1"/>
  <c r="F70" i="3"/>
  <c r="G70" i="3" s="1"/>
  <c r="H70" i="3" s="1"/>
  <c r="F94" i="3"/>
  <c r="G94" i="3" s="1"/>
  <c r="H94" i="3" s="1"/>
  <c r="K33" i="3"/>
  <c r="F47" i="3"/>
  <c r="I27" i="4" s="1"/>
  <c r="F67" i="3"/>
  <c r="K73" i="3"/>
  <c r="L73" i="3" s="1"/>
  <c r="K20" i="3"/>
  <c r="L20" i="3" s="1"/>
  <c r="M20" i="3" s="1"/>
  <c r="K44" i="3"/>
  <c r="L44" i="3" s="1"/>
  <c r="M44" i="3" s="1"/>
  <c r="P44" i="3" s="1"/>
  <c r="Q44" i="3" s="1"/>
  <c r="G61" i="3"/>
  <c r="H61" i="3" s="1"/>
  <c r="F74" i="3"/>
  <c r="G74" i="3" s="1"/>
  <c r="H74" i="3" s="1"/>
  <c r="K91" i="3"/>
  <c r="L91" i="3" s="1"/>
  <c r="M91" i="3" s="1"/>
  <c r="K36" i="3"/>
  <c r="L36" i="3" s="1"/>
  <c r="M36" i="3" s="1"/>
  <c r="K23" i="4" s="1"/>
  <c r="K9" i="3"/>
  <c r="L9" i="3" s="1"/>
  <c r="G13" i="3"/>
  <c r="H13" i="3" s="1"/>
  <c r="G33" i="3"/>
  <c r="H33" i="3" s="1"/>
  <c r="H22" i="4" s="1"/>
  <c r="N22" i="4" s="1"/>
  <c r="G54" i="3"/>
  <c r="H54" i="3" s="1"/>
  <c r="H29" i="4" s="1"/>
  <c r="N29" i="4" s="1"/>
  <c r="I7" i="4"/>
  <c r="G34" i="3"/>
  <c r="H34" i="3" s="1"/>
  <c r="J7" i="4"/>
  <c r="K31" i="3"/>
  <c r="L31" i="3" s="1"/>
  <c r="M31" i="3" s="1"/>
  <c r="G48" i="3"/>
  <c r="H48" i="3" s="1"/>
  <c r="K64" i="3"/>
  <c r="L64" i="3" s="1"/>
  <c r="M64" i="3" s="1"/>
  <c r="K77" i="3"/>
  <c r="L77" i="3" s="1"/>
  <c r="M77" i="3" s="1"/>
  <c r="P77" i="3" s="1"/>
  <c r="Q77" i="3" s="1"/>
  <c r="K84" i="3"/>
  <c r="L32" i="3"/>
  <c r="L62" i="3"/>
  <c r="M62" i="3" s="1"/>
  <c r="P62" i="3" s="1"/>
  <c r="Q62" i="3" s="1"/>
  <c r="K40" i="3"/>
  <c r="L40" i="3" s="1"/>
  <c r="M40" i="3" s="1"/>
  <c r="P40" i="3" s="1"/>
  <c r="Q40" i="3" s="1"/>
  <c r="K27" i="3"/>
  <c r="L27" i="3" s="1"/>
  <c r="M27" i="3" s="1"/>
  <c r="O27" i="3" s="1"/>
  <c r="K16" i="3"/>
  <c r="L16" i="3" s="1"/>
  <c r="M16" i="3" s="1"/>
  <c r="O16" i="3" s="1"/>
  <c r="K37" i="3"/>
  <c r="K51" i="3"/>
  <c r="L51" i="3" s="1"/>
  <c r="M51" i="3" s="1"/>
  <c r="N51" i="3" s="1"/>
  <c r="G68" i="3"/>
  <c r="H68" i="3" s="1"/>
  <c r="H33" i="4" s="1"/>
  <c r="N33" i="4" s="1"/>
  <c r="K13" i="3"/>
  <c r="L13" i="3" s="1"/>
  <c r="K71" i="3"/>
  <c r="L71" i="3" s="1"/>
  <c r="M71" i="3" s="1"/>
  <c r="O71" i="3" s="1"/>
  <c r="M34" i="4" s="1"/>
  <c r="L11" i="3"/>
  <c r="M11" i="3" s="1"/>
  <c r="N11" i="3" s="1"/>
  <c r="L10" i="4" s="1"/>
  <c r="K57" i="3"/>
  <c r="K80" i="3"/>
  <c r="L80" i="3" s="1"/>
  <c r="M80" i="3" s="1"/>
  <c r="G28" i="3"/>
  <c r="H28" i="3" s="1"/>
  <c r="H20" i="4" s="1"/>
  <c r="N20" i="4" s="1"/>
  <c r="K7" i="3"/>
  <c r="L7" i="3" s="1"/>
  <c r="M7" i="3" s="1"/>
  <c r="K41" i="3"/>
  <c r="K55" i="3"/>
  <c r="L55" i="3" s="1"/>
  <c r="M55" i="3" s="1"/>
  <c r="P55" i="3" s="1"/>
  <c r="Q55" i="3" s="1"/>
  <c r="K58" i="3"/>
  <c r="L58" i="3" s="1"/>
  <c r="M58" i="3" s="1"/>
  <c r="K61" i="3"/>
  <c r="L61" i="3" s="1"/>
  <c r="M61" i="3" s="1"/>
  <c r="K68" i="3"/>
  <c r="L68" i="3" s="1"/>
  <c r="M68" i="3" s="1"/>
  <c r="L92" i="3"/>
  <c r="M92" i="3" s="1"/>
  <c r="P92" i="3" s="1"/>
  <c r="Q92" i="3" s="1"/>
  <c r="K38" i="3"/>
  <c r="L38" i="3" s="1"/>
  <c r="G96" i="3"/>
  <c r="H96" i="3" s="1"/>
  <c r="H40" i="4" s="1"/>
  <c r="N40" i="4" s="1"/>
  <c r="K17" i="3"/>
  <c r="L17" i="3" s="1"/>
  <c r="M17" i="3" s="1"/>
  <c r="K45" i="3"/>
  <c r="L45" i="3" s="1"/>
  <c r="M45" i="3" s="1"/>
  <c r="N45" i="3" s="1"/>
  <c r="L26" i="4" s="1"/>
  <c r="K48" i="3"/>
  <c r="L48" i="3" s="1"/>
  <c r="M48" i="3" s="1"/>
  <c r="K52" i="3"/>
  <c r="L52" i="3" s="1"/>
  <c r="M52" i="3" s="1"/>
  <c r="P52" i="3" s="1"/>
  <c r="Q52" i="3" s="1"/>
  <c r="O78" i="3"/>
  <c r="N78" i="3"/>
  <c r="O25" i="3"/>
  <c r="O31" i="3"/>
  <c r="N31" i="3"/>
  <c r="P31" i="3"/>
  <c r="Q31" i="3" s="1"/>
  <c r="P71" i="3"/>
  <c r="Q71" i="3" s="1"/>
  <c r="K5" i="4"/>
  <c r="O5" i="3"/>
  <c r="M5" i="4" s="1"/>
  <c r="N5" i="3"/>
  <c r="L5" i="4" s="1"/>
  <c r="K7" i="4"/>
  <c r="F38" i="3"/>
  <c r="G38" i="3" s="1"/>
  <c r="H38" i="3" s="1"/>
  <c r="F57" i="3"/>
  <c r="G57" i="3" s="1"/>
  <c r="H57" i="3" s="1"/>
  <c r="M72" i="3"/>
  <c r="P72" i="3" s="1"/>
  <c r="Q72" i="3" s="1"/>
  <c r="P76" i="3"/>
  <c r="Q76" i="3" s="1"/>
  <c r="G36" i="3"/>
  <c r="H36" i="3" s="1"/>
  <c r="H23" i="4" s="1"/>
  <c r="N23" i="4" s="1"/>
  <c r="G53" i="3"/>
  <c r="H53" i="3" s="1"/>
  <c r="F6" i="3"/>
  <c r="I6" i="4" s="1"/>
  <c r="F15" i="3"/>
  <c r="I13" i="4" s="1"/>
  <c r="F24" i="3"/>
  <c r="I18" i="4" s="1"/>
  <c r="G24" i="3"/>
  <c r="H24" i="3" s="1"/>
  <c r="H18" i="4" s="1"/>
  <c r="N18" i="4" s="1"/>
  <c r="G82" i="3"/>
  <c r="H82" i="3" s="1"/>
  <c r="K39" i="4"/>
  <c r="N92" i="3"/>
  <c r="L39" i="4" s="1"/>
  <c r="O92" i="3"/>
  <c r="M39" i="4" s="1"/>
  <c r="G22" i="3"/>
  <c r="H22" i="3" s="1"/>
  <c r="H17" i="4" s="1"/>
  <c r="N17" i="4" s="1"/>
  <c r="M32" i="3"/>
  <c r="P32" i="3"/>
  <c r="Q32" i="3" s="1"/>
  <c r="G77" i="3"/>
  <c r="H77" i="3" s="1"/>
  <c r="M38" i="3"/>
  <c r="P38" i="3" s="1"/>
  <c r="Q38" i="3" s="1"/>
  <c r="L28" i="3"/>
  <c r="M28" i="3" s="1"/>
  <c r="G55" i="3"/>
  <c r="H55" i="3" s="1"/>
  <c r="F55" i="3"/>
  <c r="O76" i="3"/>
  <c r="F75" i="3"/>
  <c r="I35" i="4" s="1"/>
  <c r="F9" i="3"/>
  <c r="I9" i="4" s="1"/>
  <c r="G9" i="3"/>
  <c r="H9" i="3" s="1"/>
  <c r="H9" i="4" s="1"/>
  <c r="N9" i="4" s="1"/>
  <c r="P18" i="3"/>
  <c r="Q18" i="3" s="1"/>
  <c r="M18" i="3"/>
  <c r="N27" i="3"/>
  <c r="P27" i="3"/>
  <c r="Q27" i="3" s="1"/>
  <c r="P51" i="3"/>
  <c r="Q51" i="3" s="1"/>
  <c r="G65" i="3"/>
  <c r="H65" i="3" s="1"/>
  <c r="H32" i="4" s="1"/>
  <c r="N32" i="4" s="1"/>
  <c r="G80" i="3"/>
  <c r="H80" i="3" s="1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L33" i="3"/>
  <c r="M33" i="3" s="1"/>
  <c r="F84" i="3"/>
  <c r="I37" i="4" s="1"/>
  <c r="G84" i="3"/>
  <c r="H84" i="3" s="1"/>
  <c r="H37" i="4" s="1"/>
  <c r="N37" i="4" s="1"/>
  <c r="M9" i="3"/>
  <c r="G7" i="3"/>
  <c r="H7" i="3" s="1"/>
  <c r="H7" i="4" s="1"/>
  <c r="N7" i="4" s="1"/>
  <c r="L37" i="3"/>
  <c r="M37" i="3" s="1"/>
  <c r="K32" i="4"/>
  <c r="O65" i="3"/>
  <c r="M32" i="4" s="1"/>
  <c r="N65" i="3"/>
  <c r="L32" i="4" s="1"/>
  <c r="F49" i="3"/>
  <c r="G49" i="3" s="1"/>
  <c r="H49" i="3" s="1"/>
  <c r="N80" i="3"/>
  <c r="P80" i="3"/>
  <c r="Q80" i="3" s="1"/>
  <c r="O80" i="3"/>
  <c r="G12" i="3"/>
  <c r="H12" i="3" s="1"/>
  <c r="H11" i="4" s="1"/>
  <c r="N11" i="4" s="1"/>
  <c r="G19" i="3"/>
  <c r="H19" i="3" s="1"/>
  <c r="I28" i="4"/>
  <c r="G50" i="3"/>
  <c r="H50" i="3" s="1"/>
  <c r="H28" i="4" s="1"/>
  <c r="N28" i="4" s="1"/>
  <c r="I39" i="4"/>
  <c r="G92" i="3"/>
  <c r="H92" i="3" s="1"/>
  <c r="H39" i="4" s="1"/>
  <c r="N39" i="4" s="1"/>
  <c r="G27" i="3"/>
  <c r="H27" i="3" s="1"/>
  <c r="M75" i="3"/>
  <c r="P75" i="3"/>
  <c r="Q75" i="3" s="1"/>
  <c r="G56" i="3"/>
  <c r="H56" i="3" s="1"/>
  <c r="N60" i="3"/>
  <c r="O60" i="3"/>
  <c r="P60" i="3"/>
  <c r="Q60" i="3" s="1"/>
  <c r="F18" i="3"/>
  <c r="I15" i="4" s="1"/>
  <c r="M12" i="3"/>
  <c r="O40" i="3"/>
  <c r="F52" i="3"/>
  <c r="G52" i="3" s="1"/>
  <c r="H52" i="3" s="1"/>
  <c r="F35" i="3"/>
  <c r="G35" i="3" s="1"/>
  <c r="H35" i="3" s="1"/>
  <c r="G32" i="3"/>
  <c r="H32" i="3" s="1"/>
  <c r="F59" i="3"/>
  <c r="I30" i="4" s="1"/>
  <c r="F79" i="3"/>
  <c r="I36" i="4" s="1"/>
  <c r="L84" i="3"/>
  <c r="M8" i="3"/>
  <c r="F29" i="3"/>
  <c r="G29" i="3" s="1"/>
  <c r="H29" i="3" s="1"/>
  <c r="L41" i="3"/>
  <c r="M41" i="3" s="1"/>
  <c r="F43" i="3"/>
  <c r="G43" i="3" s="1"/>
  <c r="H43" i="3" s="1"/>
  <c r="G69" i="3"/>
  <c r="H69" i="3" s="1"/>
  <c r="L21" i="3"/>
  <c r="M21" i="3" s="1"/>
  <c r="F26" i="3"/>
  <c r="I19" i="4" s="1"/>
  <c r="L35" i="3"/>
  <c r="M35" i="3" s="1"/>
  <c r="G40" i="3"/>
  <c r="H40" i="3" s="1"/>
  <c r="L46" i="3"/>
  <c r="M46" i="3" s="1"/>
  <c r="L57" i="3"/>
  <c r="M57" i="3" s="1"/>
  <c r="G64" i="3"/>
  <c r="H64" i="3" s="1"/>
  <c r="F69" i="3"/>
  <c r="G88" i="3"/>
  <c r="H88" i="3" s="1"/>
  <c r="H38" i="4" s="1"/>
  <c r="N38" i="4" s="1"/>
  <c r="G14" i="3"/>
  <c r="H14" i="3" s="1"/>
  <c r="H12" i="4" s="1"/>
  <c r="N12" i="4" s="1"/>
  <c r="F17" i="3"/>
  <c r="I14" i="4" s="1"/>
  <c r="F20" i="3"/>
  <c r="I16" i="4" s="1"/>
  <c r="F23" i="3"/>
  <c r="G23" i="3" s="1"/>
  <c r="H23" i="3" s="1"/>
  <c r="F56" i="3"/>
  <c r="G71" i="3"/>
  <c r="H71" i="3" s="1"/>
  <c r="H34" i="4" s="1"/>
  <c r="N34" i="4" s="1"/>
  <c r="F91" i="3"/>
  <c r="G91" i="3" s="1"/>
  <c r="H91" i="3" s="1"/>
  <c r="F72" i="3"/>
  <c r="G72" i="3"/>
  <c r="H72" i="3" s="1"/>
  <c r="G11" i="3"/>
  <c r="H11" i="3" s="1"/>
  <c r="H10" i="4" s="1"/>
  <c r="N10" i="4" s="1"/>
  <c r="G5" i="3"/>
  <c r="H5" i="3" s="1"/>
  <c r="H5" i="4" s="1"/>
  <c r="N5" i="4" s="1"/>
  <c r="G8" i="3"/>
  <c r="H8" i="3" s="1"/>
  <c r="H8" i="4" s="1"/>
  <c r="N8" i="4" s="1"/>
  <c r="G66" i="3"/>
  <c r="H66" i="3" s="1"/>
  <c r="G46" i="3"/>
  <c r="H46" i="3" s="1"/>
  <c r="M73" i="3"/>
  <c r="P73" i="3"/>
  <c r="Q73" i="3" s="1"/>
  <c r="P78" i="3"/>
  <c r="Q78" i="3" s="1"/>
  <c r="P69" i="3"/>
  <c r="Q69" i="3" s="1"/>
  <c r="P5" i="3"/>
  <c r="P25" i="3"/>
  <c r="Q25" i="3" s="1"/>
  <c r="L26" i="3"/>
  <c r="M26" i="3" s="1"/>
  <c r="F31" i="3"/>
  <c r="G31" i="3" s="1"/>
  <c r="H31" i="3" s="1"/>
  <c r="I26" i="4"/>
  <c r="G45" i="3"/>
  <c r="H45" i="3" s="1"/>
  <c r="H26" i="4" s="1"/>
  <c r="N26" i="4" s="1"/>
  <c r="F53" i="3"/>
  <c r="F66" i="3"/>
  <c r="M69" i="3"/>
  <c r="F93" i="3"/>
  <c r="G93" i="3" s="1"/>
  <c r="H93" i="3" s="1"/>
  <c r="F51" i="3"/>
  <c r="G51" i="3" s="1"/>
  <c r="H51" i="3" s="1"/>
  <c r="M13" i="3"/>
  <c r="G42" i="3"/>
  <c r="H42" i="3" s="1"/>
  <c r="H25" i="4" s="1"/>
  <c r="N25" i="4" s="1"/>
  <c r="K42" i="3"/>
  <c r="L42" i="3" s="1"/>
  <c r="M42" i="3" s="1"/>
  <c r="K49" i="3"/>
  <c r="L49" i="3" s="1"/>
  <c r="M49" i="3" s="1"/>
  <c r="P65" i="3"/>
  <c r="Q65" i="3" s="1"/>
  <c r="M81" i="3"/>
  <c r="P81" i="3"/>
  <c r="Q81" i="3" s="1"/>
  <c r="K82" i="3"/>
  <c r="L82" i="3" s="1"/>
  <c r="M82" i="3" s="1"/>
  <c r="P82" i="3" s="1"/>
  <c r="Q82" i="3" s="1"/>
  <c r="M84" i="3"/>
  <c r="F95" i="3"/>
  <c r="G95" i="3" s="1"/>
  <c r="H95" i="3" s="1"/>
  <c r="K6" i="3"/>
  <c r="L6" i="3" s="1"/>
  <c r="M6" i="3" s="1"/>
  <c r="P6" i="3" s="1"/>
  <c r="Q6" i="3" s="1"/>
  <c r="K24" i="3"/>
  <c r="L24" i="3" s="1"/>
  <c r="M24" i="3" s="1"/>
  <c r="G62" i="3"/>
  <c r="H62" i="3" s="1"/>
  <c r="H31" i="4" s="1"/>
  <c r="N31" i="4" s="1"/>
  <c r="K66" i="3"/>
  <c r="L66" i="3" s="1"/>
  <c r="M66" i="3" s="1"/>
  <c r="K85" i="3"/>
  <c r="L85" i="3" s="1"/>
  <c r="M85" i="3" s="1"/>
  <c r="P85" i="3" s="1"/>
  <c r="Q85" i="3" s="1"/>
  <c r="K88" i="3"/>
  <c r="L88" i="3" s="1"/>
  <c r="M88" i="3" s="1"/>
  <c r="K93" i="3"/>
  <c r="L93" i="3" s="1"/>
  <c r="M93" i="3" s="1"/>
  <c r="K81" i="3"/>
  <c r="L81" i="3" s="1"/>
  <c r="G86" i="3"/>
  <c r="H86" i="3" s="1"/>
  <c r="G98" i="3"/>
  <c r="H98" i="3" s="1"/>
  <c r="G104" i="3"/>
  <c r="H104" i="3" s="1"/>
  <c r="H42" i="4" s="1"/>
  <c r="N42" i="4" s="1"/>
  <c r="K100" i="3"/>
  <c r="L100" i="3" s="1"/>
  <c r="M100" i="3" s="1"/>
  <c r="K87" i="3"/>
  <c r="L87" i="3" s="1"/>
  <c r="M87" i="3" s="1"/>
  <c r="K67" i="3"/>
  <c r="L67" i="3" s="1"/>
  <c r="M67" i="3" s="1"/>
  <c r="K94" i="3"/>
  <c r="L94" i="3" s="1"/>
  <c r="M94" i="3" s="1"/>
  <c r="K74" i="3"/>
  <c r="L74" i="3" s="1"/>
  <c r="M74" i="3" s="1"/>
  <c r="P74" i="3" s="1"/>
  <c r="Q74" i="3" s="1"/>
  <c r="K54" i="3"/>
  <c r="L54" i="3" s="1"/>
  <c r="M54" i="3" s="1"/>
  <c r="K34" i="3"/>
  <c r="L34" i="3" s="1"/>
  <c r="M34" i="3" s="1"/>
  <c r="K14" i="3"/>
  <c r="L14" i="3" s="1"/>
  <c r="M14" i="3" s="1"/>
  <c r="P14" i="3" s="1"/>
  <c r="Q14" i="3" s="1"/>
  <c r="K101" i="3"/>
  <c r="L101" i="3" s="1"/>
  <c r="M101" i="3" s="1"/>
  <c r="K95" i="3"/>
  <c r="L95" i="3" s="1"/>
  <c r="M95" i="3" s="1"/>
  <c r="K102" i="3"/>
  <c r="L102" i="3" s="1"/>
  <c r="M102" i="3" s="1"/>
  <c r="K96" i="3"/>
  <c r="L96" i="3" s="1"/>
  <c r="M96" i="3" s="1"/>
  <c r="K103" i="3"/>
  <c r="L103" i="3" s="1"/>
  <c r="K83" i="3"/>
  <c r="L83" i="3" s="1"/>
  <c r="M83" i="3" s="1"/>
  <c r="K63" i="3"/>
  <c r="L63" i="3" s="1"/>
  <c r="M63" i="3" s="1"/>
  <c r="K43" i="3"/>
  <c r="L43" i="3" s="1"/>
  <c r="M43" i="3" s="1"/>
  <c r="K23" i="3"/>
  <c r="L23" i="3" s="1"/>
  <c r="M23" i="3" s="1"/>
  <c r="K10" i="3"/>
  <c r="L10" i="3" s="1"/>
  <c r="M10" i="3" s="1"/>
  <c r="K90" i="3"/>
  <c r="L90" i="3" s="1"/>
  <c r="M90" i="3" s="1"/>
  <c r="K70" i="3"/>
  <c r="L70" i="3" s="1"/>
  <c r="M70" i="3" s="1"/>
  <c r="K50" i="3"/>
  <c r="L50" i="3" s="1"/>
  <c r="M50" i="3" s="1"/>
  <c r="K30" i="3"/>
  <c r="L30" i="3" s="1"/>
  <c r="M30" i="3" s="1"/>
  <c r="K97" i="3"/>
  <c r="L97" i="3" s="1"/>
  <c r="M97" i="3" s="1"/>
  <c r="P97" i="3" s="1"/>
  <c r="Q97" i="3" s="1"/>
  <c r="K104" i="3"/>
  <c r="L104" i="3" s="1"/>
  <c r="M104" i="3" s="1"/>
  <c r="K98" i="3"/>
  <c r="L98" i="3" s="1"/>
  <c r="M98" i="3" s="1"/>
  <c r="P98" i="3" s="1"/>
  <c r="Q98" i="3" s="1"/>
  <c r="K99" i="3"/>
  <c r="L99" i="3" s="1"/>
  <c r="M99" i="3" s="1"/>
  <c r="K79" i="3"/>
  <c r="L79" i="3" s="1"/>
  <c r="M79" i="3" s="1"/>
  <c r="K59" i="3"/>
  <c r="L59" i="3" s="1"/>
  <c r="M59" i="3" s="1"/>
  <c r="K39" i="3"/>
  <c r="L39" i="3" s="1"/>
  <c r="M39" i="3" s="1"/>
  <c r="K19" i="3"/>
  <c r="L19" i="3" s="1"/>
  <c r="M19" i="3" s="1"/>
  <c r="K86" i="3"/>
  <c r="L86" i="3" s="1"/>
  <c r="M86" i="3" s="1"/>
  <c r="K22" i="3"/>
  <c r="L22" i="3" s="1"/>
  <c r="M22" i="3" s="1"/>
  <c r="K29" i="3"/>
  <c r="L29" i="3" s="1"/>
  <c r="M29" i="3" s="1"/>
  <c r="K47" i="3"/>
  <c r="L47" i="3" s="1"/>
  <c r="M47" i="3" s="1"/>
  <c r="F104" i="3"/>
  <c r="I42" i="4" s="1"/>
  <c r="F103" i="3"/>
  <c r="G103" i="3" s="1"/>
  <c r="H103" i="3" s="1"/>
  <c r="F102" i="3"/>
  <c r="G102" i="3" s="1"/>
  <c r="H102" i="3" s="1"/>
  <c r="F101" i="3"/>
  <c r="G101" i="3" s="1"/>
  <c r="H101" i="3" s="1"/>
  <c r="M103" i="3"/>
  <c r="P103" i="3" s="1"/>
  <c r="Q103" i="3" s="1"/>
  <c r="F100" i="3"/>
  <c r="I41" i="4" s="1"/>
  <c r="F99" i="3"/>
  <c r="G99" i="3" s="1"/>
  <c r="H99" i="3" s="1"/>
  <c r="P91" i="3" l="1"/>
  <c r="Q91" i="3" s="1"/>
  <c r="O91" i="3"/>
  <c r="N91" i="3"/>
  <c r="O7" i="3"/>
  <c r="M7" i="4" s="1"/>
  <c r="P7" i="3"/>
  <c r="Q7" i="3" s="1"/>
  <c r="N7" i="3"/>
  <c r="L7" i="4" s="1"/>
  <c r="K16" i="4"/>
  <c r="N20" i="3"/>
  <c r="L16" i="4" s="1"/>
  <c r="P20" i="3"/>
  <c r="Q20" i="3" s="1"/>
  <c r="O20" i="3"/>
  <c r="M16" i="4" s="1"/>
  <c r="N71" i="3"/>
  <c r="L34" i="4" s="1"/>
  <c r="K34" i="4"/>
  <c r="O51" i="3"/>
  <c r="G59" i="3"/>
  <c r="H59" i="3" s="1"/>
  <c r="H30" i="4" s="1"/>
  <c r="N30" i="4" s="1"/>
  <c r="P36" i="3"/>
  <c r="Q36" i="3" s="1"/>
  <c r="P16" i="3"/>
  <c r="Q16" i="3" s="1"/>
  <c r="O36" i="3"/>
  <c r="M23" i="4" s="1"/>
  <c r="N16" i="3"/>
  <c r="O56" i="3"/>
  <c r="P56" i="3"/>
  <c r="Q56" i="3" s="1"/>
  <c r="O45" i="3"/>
  <c r="M26" i="4" s="1"/>
  <c r="P11" i="3"/>
  <c r="Q11" i="3" s="1"/>
  <c r="G17" i="3"/>
  <c r="H17" i="3" s="1"/>
  <c r="H14" i="4" s="1"/>
  <c r="N14" i="4" s="1"/>
  <c r="O11" i="3"/>
  <c r="M10" i="4" s="1"/>
  <c r="N36" i="3"/>
  <c r="L23" i="4" s="1"/>
  <c r="P45" i="3"/>
  <c r="Q45" i="3" s="1"/>
  <c r="O55" i="3"/>
  <c r="K10" i="4"/>
  <c r="N55" i="3"/>
  <c r="G30" i="3"/>
  <c r="H30" i="3" s="1"/>
  <c r="H21" i="4" s="1"/>
  <c r="N21" i="4" s="1"/>
  <c r="K26" i="4"/>
  <c r="N40" i="3"/>
  <c r="G18" i="3"/>
  <c r="H18" i="3" s="1"/>
  <c r="H15" i="4" s="1"/>
  <c r="N15" i="4" s="1"/>
  <c r="N56" i="3"/>
  <c r="N15" i="3"/>
  <c r="L13" i="4" s="1"/>
  <c r="K13" i="4"/>
  <c r="O15" i="3"/>
  <c r="M13" i="4" s="1"/>
  <c r="P15" i="3"/>
  <c r="Q15" i="3" s="1"/>
  <c r="O57" i="3"/>
  <c r="N57" i="3"/>
  <c r="P57" i="3"/>
  <c r="Q57" i="3" s="1"/>
  <c r="P93" i="3"/>
  <c r="Q93" i="3" s="1"/>
  <c r="O93" i="3"/>
  <c r="N93" i="3"/>
  <c r="N88" i="3"/>
  <c r="L38" i="4" s="1"/>
  <c r="K38" i="4"/>
  <c r="O88" i="3"/>
  <c r="M38" i="4" s="1"/>
  <c r="P88" i="3"/>
  <c r="Q88" i="3" s="1"/>
  <c r="O95" i="3"/>
  <c r="N95" i="3"/>
  <c r="P95" i="3"/>
  <c r="Q95" i="3" s="1"/>
  <c r="O70" i="3"/>
  <c r="N70" i="3"/>
  <c r="P70" i="3"/>
  <c r="Q70" i="3" s="1"/>
  <c r="N53" i="3"/>
  <c r="P53" i="3"/>
  <c r="Q53" i="3" s="1"/>
  <c r="O53" i="3"/>
  <c r="O29" i="3"/>
  <c r="N29" i="3"/>
  <c r="P29" i="3"/>
  <c r="Q29" i="3" s="1"/>
  <c r="K22" i="4"/>
  <c r="P33" i="3"/>
  <c r="Q33" i="3" s="1"/>
  <c r="N33" i="3"/>
  <c r="L22" i="4" s="1"/>
  <c r="O33" i="3"/>
  <c r="M22" i="4" s="1"/>
  <c r="O86" i="3"/>
  <c r="N86" i="3"/>
  <c r="P86" i="3"/>
  <c r="Q86" i="3" s="1"/>
  <c r="O102" i="3"/>
  <c r="N102" i="3"/>
  <c r="P102" i="3"/>
  <c r="Q102" i="3" s="1"/>
  <c r="K30" i="4"/>
  <c r="N59" i="3"/>
  <c r="L30" i="4" s="1"/>
  <c r="O59" i="3"/>
  <c r="M30" i="4" s="1"/>
  <c r="P59" i="3"/>
  <c r="Q59" i="3" s="1"/>
  <c r="N21" i="3"/>
  <c r="O21" i="3"/>
  <c r="P21" i="3"/>
  <c r="Q21" i="3" s="1"/>
  <c r="K29" i="4"/>
  <c r="O54" i="3"/>
  <c r="M29" i="4" s="1"/>
  <c r="N54" i="3"/>
  <c r="L29" i="4" s="1"/>
  <c r="P54" i="3"/>
  <c r="K20" i="4"/>
  <c r="N28" i="3"/>
  <c r="L20" i="4" s="1"/>
  <c r="O28" i="3"/>
  <c r="M20" i="4" s="1"/>
  <c r="P28" i="3"/>
  <c r="Q28" i="3" s="1"/>
  <c r="K42" i="4"/>
  <c r="O104" i="3"/>
  <c r="M42" i="4" s="1"/>
  <c r="N104" i="3"/>
  <c r="L42" i="4" s="1"/>
  <c r="P104" i="3"/>
  <c r="Q104" i="3" s="1"/>
  <c r="O41" i="3"/>
  <c r="N41" i="3"/>
  <c r="P41" i="3"/>
  <c r="Q41" i="3" s="1"/>
  <c r="N49" i="3"/>
  <c r="O49" i="3"/>
  <c r="P49" i="3"/>
  <c r="Q49" i="3" s="1"/>
  <c r="O46" i="3"/>
  <c r="N46" i="3"/>
  <c r="P46" i="3"/>
  <c r="Q46" i="3" s="1"/>
  <c r="N101" i="3"/>
  <c r="O101" i="3"/>
  <c r="P101" i="3"/>
  <c r="Q101" i="3" s="1"/>
  <c r="N99" i="3"/>
  <c r="O99" i="3"/>
  <c r="P99" i="3"/>
  <c r="Q99" i="3" s="1"/>
  <c r="N24" i="3"/>
  <c r="L18" i="4" s="1"/>
  <c r="K18" i="4"/>
  <c r="O24" i="3"/>
  <c r="M18" i="4" s="1"/>
  <c r="P24" i="3"/>
  <c r="Q24" i="3" s="1"/>
  <c r="O19" i="3"/>
  <c r="P19" i="3"/>
  <c r="Q19" i="3" s="1"/>
  <c r="N19" i="3"/>
  <c r="K12" i="4"/>
  <c r="O14" i="3"/>
  <c r="M12" i="4" s="1"/>
  <c r="N14" i="3"/>
  <c r="L12" i="4" s="1"/>
  <c r="K21" i="4"/>
  <c r="N30" i="3"/>
  <c r="L21" i="4" s="1"/>
  <c r="O30" i="3"/>
  <c r="M21" i="4" s="1"/>
  <c r="O34" i="3"/>
  <c r="N34" i="3"/>
  <c r="N66" i="3"/>
  <c r="P66" i="3"/>
  <c r="Q66" i="3" s="1"/>
  <c r="O66" i="3"/>
  <c r="N97" i="3"/>
  <c r="O97" i="3"/>
  <c r="N35" i="3"/>
  <c r="P35" i="3"/>
  <c r="Q35" i="3" s="1"/>
  <c r="O35" i="3"/>
  <c r="O94" i="3"/>
  <c r="N94" i="3"/>
  <c r="P34" i="3"/>
  <c r="Q34" i="3" s="1"/>
  <c r="G6" i="3"/>
  <c r="H6" i="3" s="1"/>
  <c r="H6" i="4" s="1"/>
  <c r="N6" i="4" s="1"/>
  <c r="O103" i="3"/>
  <c r="N103" i="3"/>
  <c r="K24" i="4"/>
  <c r="O39" i="3"/>
  <c r="M24" i="4" s="1"/>
  <c r="N39" i="3"/>
  <c r="L24" i="4" s="1"/>
  <c r="O85" i="3"/>
  <c r="N85" i="3"/>
  <c r="P39" i="3"/>
  <c r="Q39" i="3" s="1"/>
  <c r="O89" i="3"/>
  <c r="N89" i="3"/>
  <c r="N64" i="3"/>
  <c r="O64" i="3"/>
  <c r="P64" i="3"/>
  <c r="Q64" i="3" s="1"/>
  <c r="K6" i="4"/>
  <c r="O6" i="3"/>
  <c r="M6" i="4" s="1"/>
  <c r="N6" i="3"/>
  <c r="L6" i="4" s="1"/>
  <c r="G75" i="3"/>
  <c r="H75" i="3" s="1"/>
  <c r="H35" i="4" s="1"/>
  <c r="N35" i="4" s="1"/>
  <c r="K28" i="4"/>
  <c r="P50" i="3"/>
  <c r="Q50" i="3" s="1"/>
  <c r="O50" i="3"/>
  <c r="M28" i="4" s="1"/>
  <c r="N50" i="3"/>
  <c r="L28" i="4" s="1"/>
  <c r="O43" i="3"/>
  <c r="N43" i="3"/>
  <c r="P43" i="3"/>
  <c r="Q43" i="3" s="1"/>
  <c r="N69" i="3"/>
  <c r="O69" i="3"/>
  <c r="O61" i="3"/>
  <c r="P61" i="3"/>
  <c r="Q61" i="3" s="1"/>
  <c r="N61" i="3"/>
  <c r="N10" i="3"/>
  <c r="P10" i="3"/>
  <c r="Q10" i="3" s="1"/>
  <c r="O10" i="3"/>
  <c r="G26" i="3"/>
  <c r="H26" i="3" s="1"/>
  <c r="H19" i="4" s="1"/>
  <c r="N19" i="4" s="1"/>
  <c r="K9" i="4"/>
  <c r="O9" i="3"/>
  <c r="M9" i="4" s="1"/>
  <c r="N9" i="3"/>
  <c r="L9" i="4" s="1"/>
  <c r="O58" i="3"/>
  <c r="N58" i="3"/>
  <c r="N23" i="3"/>
  <c r="P23" i="3"/>
  <c r="Q23" i="3" s="1"/>
  <c r="O23" i="3"/>
  <c r="K8" i="4"/>
  <c r="N8" i="3"/>
  <c r="L8" i="4" s="1"/>
  <c r="P8" i="3"/>
  <c r="Q8" i="3" s="1"/>
  <c r="O8" i="3"/>
  <c r="M8" i="4" s="1"/>
  <c r="P9" i="3"/>
  <c r="Q9" i="3" s="1"/>
  <c r="O32" i="3"/>
  <c r="N32" i="3"/>
  <c r="N84" i="3"/>
  <c r="L37" i="4" s="1"/>
  <c r="K37" i="4"/>
  <c r="P84" i="3"/>
  <c r="Q84" i="3" s="1"/>
  <c r="O84" i="3"/>
  <c r="M37" i="4" s="1"/>
  <c r="P58" i="3"/>
  <c r="Q58" i="3" s="1"/>
  <c r="P89" i="3"/>
  <c r="Q89" i="3" s="1"/>
  <c r="K31" i="4"/>
  <c r="O62" i="3"/>
  <c r="M31" i="4" s="1"/>
  <c r="N62" i="3"/>
  <c r="L31" i="4" s="1"/>
  <c r="P30" i="3"/>
  <c r="Q30" i="3" s="1"/>
  <c r="O75" i="3"/>
  <c r="M35" i="4" s="1"/>
  <c r="N75" i="3"/>
  <c r="L35" i="4" s="1"/>
  <c r="K35" i="4"/>
  <c r="G15" i="3"/>
  <c r="H15" i="3" s="1"/>
  <c r="H13" i="4" s="1"/>
  <c r="N13" i="4" s="1"/>
  <c r="O67" i="3"/>
  <c r="P67" i="3"/>
  <c r="Q67" i="3" s="1"/>
  <c r="N67" i="3"/>
  <c r="O87" i="3"/>
  <c r="N87" i="3"/>
  <c r="P87" i="3"/>
  <c r="Q87" i="3" s="1"/>
  <c r="K27" i="4"/>
  <c r="O47" i="3"/>
  <c r="M27" i="4" s="1"/>
  <c r="P47" i="3"/>
  <c r="Q47" i="3" s="1"/>
  <c r="N47" i="3"/>
  <c r="L27" i="4" s="1"/>
  <c r="K11" i="4"/>
  <c r="N12" i="3"/>
  <c r="L11" i="4" s="1"/>
  <c r="O12" i="3"/>
  <c r="M11" i="4" s="1"/>
  <c r="G20" i="3"/>
  <c r="H20" i="3" s="1"/>
  <c r="H16" i="4" s="1"/>
  <c r="N16" i="4" s="1"/>
  <c r="P13" i="3"/>
  <c r="Q13" i="3" s="1"/>
  <c r="O13" i="3"/>
  <c r="N13" i="3"/>
  <c r="K41" i="4"/>
  <c r="N100" i="3"/>
  <c r="L41" i="4" s="1"/>
  <c r="P100" i="3"/>
  <c r="Q100" i="3" s="1"/>
  <c r="O100" i="3"/>
  <c r="M41" i="4" s="1"/>
  <c r="O73" i="3"/>
  <c r="N73" i="3"/>
  <c r="O77" i="3"/>
  <c r="N77" i="3"/>
  <c r="N83" i="3"/>
  <c r="O83" i="3"/>
  <c r="P83" i="3"/>
  <c r="Q83" i="3" s="1"/>
  <c r="G100" i="3"/>
  <c r="H100" i="3" s="1"/>
  <c r="H41" i="4" s="1"/>
  <c r="N41" i="4" s="1"/>
  <c r="G79" i="3"/>
  <c r="H79" i="3" s="1"/>
  <c r="H36" i="4" s="1"/>
  <c r="N36" i="4" s="1"/>
  <c r="P12" i="3"/>
  <c r="Q12" i="3" s="1"/>
  <c r="O90" i="3"/>
  <c r="N90" i="3"/>
  <c r="O74" i="3"/>
  <c r="N74" i="3"/>
  <c r="K36" i="4"/>
  <c r="N79" i="3"/>
  <c r="L36" i="4" s="1"/>
  <c r="P79" i="3"/>
  <c r="Q79" i="3" s="1"/>
  <c r="O79" i="3"/>
  <c r="M36" i="4" s="1"/>
  <c r="O98" i="3"/>
  <c r="N98" i="3"/>
  <c r="P48" i="3"/>
  <c r="Q48" i="3" s="1"/>
  <c r="O48" i="3"/>
  <c r="N48" i="3"/>
  <c r="O37" i="3"/>
  <c r="P37" i="3"/>
  <c r="Q37" i="3" s="1"/>
  <c r="N37" i="3"/>
  <c r="K14" i="4"/>
  <c r="O17" i="3"/>
  <c r="M14" i="4" s="1"/>
  <c r="P17" i="3"/>
  <c r="Q17" i="3" s="1"/>
  <c r="N17" i="3"/>
  <c r="L14" i="4" s="1"/>
  <c r="O82" i="3"/>
  <c r="N82" i="3"/>
  <c r="N68" i="3"/>
  <c r="L33" i="4" s="1"/>
  <c r="K33" i="4"/>
  <c r="O68" i="3"/>
  <c r="M33" i="4" s="1"/>
  <c r="P68" i="3"/>
  <c r="Q68" i="3" s="1"/>
  <c r="P63" i="3"/>
  <c r="Q63" i="3" s="1"/>
  <c r="N63" i="3"/>
  <c r="O63" i="3"/>
  <c r="P94" i="3"/>
  <c r="Q94" i="3" s="1"/>
  <c r="O81" i="3"/>
  <c r="N81" i="3"/>
  <c r="O72" i="3"/>
  <c r="N72" i="3"/>
  <c r="K25" i="4"/>
  <c r="O42" i="3"/>
  <c r="M25" i="4" s="1"/>
  <c r="N42" i="3"/>
  <c r="L25" i="4" s="1"/>
  <c r="P42" i="3"/>
  <c r="Q42" i="3" s="1"/>
  <c r="P90" i="3"/>
  <c r="Q90" i="3" s="1"/>
  <c r="Q5" i="3"/>
  <c r="R6" i="3" s="1"/>
  <c r="R7" i="3" s="1"/>
  <c r="R8" i="3" s="1"/>
  <c r="C41" i="2"/>
  <c r="O38" i="3"/>
  <c r="N38" i="3"/>
  <c r="N44" i="3"/>
  <c r="O44" i="3"/>
  <c r="O22" i="3"/>
  <c r="M17" i="4" s="1"/>
  <c r="K17" i="4"/>
  <c r="N22" i="3"/>
  <c r="L17" i="4" s="1"/>
  <c r="P22" i="3"/>
  <c r="Q22" i="3" s="1"/>
  <c r="P96" i="3"/>
  <c r="Q96" i="3" s="1"/>
  <c r="N96" i="3"/>
  <c r="L40" i="4" s="1"/>
  <c r="K40" i="4"/>
  <c r="O96" i="3"/>
  <c r="M40" i="4" s="1"/>
  <c r="K19" i="4"/>
  <c r="O26" i="3"/>
  <c r="M19" i="4" s="1"/>
  <c r="N26" i="3"/>
  <c r="L19" i="4" s="1"/>
  <c r="P26" i="3"/>
  <c r="Q26" i="3" s="1"/>
  <c r="O52" i="3"/>
  <c r="N52" i="3"/>
  <c r="O18" i="3"/>
  <c r="M15" i="4" s="1"/>
  <c r="K15" i="4"/>
  <c r="N18" i="3"/>
  <c r="L15" i="4" s="1"/>
  <c r="R9" i="3" l="1"/>
  <c r="R10" i="3" s="1"/>
  <c r="R11" i="3" s="1"/>
  <c r="R12" i="3" s="1"/>
  <c r="R13" i="3" s="1"/>
  <c r="Q54" i="3"/>
  <c r="C42" i="2"/>
  <c r="R14" i="3"/>
  <c r="R15" i="3" l="1"/>
  <c r="R16" i="3" s="1"/>
  <c r="R17" i="3" s="1"/>
  <c r="R18" i="3" s="1"/>
  <c r="R19" i="3" s="1"/>
  <c r="R20" i="3" s="1"/>
  <c r="R21" i="3" s="1"/>
  <c r="R22" i="3" s="1"/>
  <c r="R23" i="3" s="1"/>
  <c r="R24" i="3" s="1"/>
  <c r="C35" i="2"/>
  <c r="R25" i="3" l="1"/>
  <c r="R26" i="3" s="1"/>
  <c r="R27" i="3" s="1"/>
  <c r="R28" i="3" s="1"/>
  <c r="R29" i="3" s="1"/>
  <c r="R30" i="3" s="1"/>
  <c r="R31" i="3" s="1"/>
  <c r="R32" i="3" s="1"/>
  <c r="R33" i="3" s="1"/>
  <c r="R34" i="3" s="1"/>
  <c r="C36" i="2"/>
  <c r="C37" i="2" l="1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C38" i="2" l="1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0"/>
            <rFont val="FreeSans"/>
            <family val="2"/>
          </rPr>
          <t xml:space="preserve">ค่าพลังดึงจากชีต </t>
        </r>
        <r>
          <rPr>
            <sz val="10"/>
            <rFont val="Arial"/>
            <family val="2"/>
          </rPr>
          <t>'</t>
        </r>
        <r>
          <rPr>
            <sz val="10"/>
            <rFont val="FreeSans"/>
            <family val="2"/>
          </rPr>
          <t>เลเวล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ตามเลเวลของมอน แล้วคูณด้วยตัวคูณ </t>
        </r>
        <r>
          <rPr>
            <sz val="10"/>
            <rFont val="Arial"/>
            <family val="2"/>
          </rPr>
          <t>(</t>
        </r>
        <r>
          <rPr>
            <sz val="10"/>
            <rFont val="FreeSans"/>
            <family val="2"/>
          </rPr>
          <t>และตัวคูณบอสถ้าเป็นบอส</t>
        </r>
        <r>
          <rPr>
            <sz val="10"/>
            <rFont val="Arial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<sst xmlns="http://schemas.openxmlformats.org/spreadsheetml/2006/main" count="324" uniqueCount="202">
  <si>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</si>
  <si>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</si>
  <si>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</si>
  <si>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</si>
  <si>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</si>
  <si>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</si>
  <si>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</si>
  <si>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</si>
  <si>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</si>
  <si>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</si>
  <si>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</si>
  <si>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</si>
  <si>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</si>
  <si>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</si>
  <si>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</si>
  <si>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</si>
  <si>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</si>
  <si>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</si>
  <si>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</si>
  <si>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</si>
  <si>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</si>
  <si>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</si>
  <si>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</si>
  <si>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</si>
  <si>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</si>
  <si>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</si>
  <si>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</si>
  <si>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</si>
  <si>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</si>
  <si>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</si>
  <si>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</si>
  <si>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</si>
  <si>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</si>
  <si>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</si>
  <si>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</si>
  <si>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</si>
  <si>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</si>
  <si>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</si>
  <si>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</si>
  <si>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</si>
  <si>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</si>
  <si>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</si>
  <si>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</si>
  <si>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</si>
  <si>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</si>
  <si>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</si>
  <si>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</si>
  <si>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</si>
  <si>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</si>
  <si>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</si>
  <si>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</si>
  <si>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</si>
  <si>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</si>
  <si>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</si>
  <si>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</si>
  <si>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</si>
  <si>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</si>
  <si>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</si>
  <si>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</si>
  <si>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</si>
  <si>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</si>
  <si>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</si>
  <si>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</si>
  <si>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</si>
  <si>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</si>
  <si>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</si>
  <si>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</si>
  <si>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</si>
  <si>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</si>
  <si>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</si>
  <si>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</si>
  <si>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</si>
  <si>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</si>
  <si>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</si>
  <si>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</si>
  <si>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</si>
  <si>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</si>
  <si>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</si>
  <si>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</si>
  <si>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</si>
  <si>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</si>
  <si>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</si>
  <si>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</si>
  <si>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</si>
  <si>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</si>
  <si>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</si>
  <si>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</si>
  <si>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</si>
  <si>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</si>
  <si>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</si>
  <si>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</si>
  <si>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</si>
  <si>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</si>
  <si>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</si>
  <si>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</si>
  <si>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</si>
  <si>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</si>
  <si>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</si>
  <si>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</si>
  <si>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</si>
  <si>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</si>
  <si>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</si>
  <si>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</si>
  <si>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</si>
  <si>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</si>
  <si>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</si>
  <si>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</si>
  <si>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</si>
  <si>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</si>
  <si>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</si>
  <si>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</si>
  <si>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</si>
  <si>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</si>
  <si>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</si>
  <si>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</si>
  <si>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</si>
  <si>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ลักษณะ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</si>
  <si>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</si>
  <si>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</si>
  <si>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</si>
  <si>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</si>
  <si>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</si>
  <si>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</si>
  <si>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</si>
  <si>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</si>
  <si>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</si>
  <si>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</si>
  <si>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</si>
  <si>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กบเขียว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</si>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</sst>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2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EC-4B76-8E6D-D56813B48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32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32" si="22">K101*60/J101</f>
        <v>6058.4772901942879</v>
      </c>
      <c r="M101" s="25">
        <f t="shared" ref="M101:M132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32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15" ht="17.399999999999999">
      <c r="A1" s="1" t="s">
        <v>106</v>
      </c>
    </row>
    <row r="2" spans="1:15">
      <c r="A2" s="4" t="s">
        <v>107</v>
      </c>
    </row>
    <row r="4" spans="1:15" ht="27.6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50</v>
      </c>
      <c r="O4" s="24" t="s">
        <v>116</v>
      </c>
    </row>
    <row r="5" spans="1:15">
      <c r="A5" s="3" t="s">
        <v>117</v>
      </c>
      <c r="B5" s="28" t="s">
        <v>118</v>
      </c>
      <c r="C5" s="28">
        <v>1</v>
      </c>
      <c r="D5" s="28" t="s">
        <v>119</v>
      </c>
      <c r="E5" s="28" t="s">
        <v>120</v>
      </c>
      <c r="F5" s="29">
        <v>1</v>
      </c>
      <c r="G5" s="29">
        <v>1</v>
      </c>
      <c r="H5" s="25">
        <f>ROUND(INDEX(เลเวล!$H$5:$H$104,C5)*F5*IF(D5="บอส",ตั้งค่า!$C$29,1),0)</f>
        <v>44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ROUNDUP(H5/INDEX(เลเวล!$G$5:$G$104,C5),0)</f>
        <v>4</v>
      </c>
      <c r="O5" s="3" t="s">
        <v>121</v>
      </c>
    </row>
    <row r="6" spans="1:15">
      <c r="A6" s="3" t="s">
        <v>122</v>
      </c>
      <c r="B6" s="28" t="s">
        <v>118</v>
      </c>
      <c r="C6" s="28">
        <v>2</v>
      </c>
      <c r="D6" s="28" t="s">
        <v>119</v>
      </c>
      <c r="E6" s="28" t="s">
        <v>120</v>
      </c>
      <c r="F6" s="29">
        <v>0.7</v>
      </c>
      <c r="G6" s="29">
        <v>0.8</v>
      </c>
      <c r="H6" s="25">
        <f>ROUND(INDEX(เลเวล!$H$5:$H$104,C6)*F6*IF(D6="บอส",ตั้งค่า!$C$29,1),0)</f>
        <v>37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ROUNDUP(H6/INDEX(เลเวล!$G$5:$G$104,C6),0)</f>
        <v>3</v>
      </c>
      <c r="O6" s="3" t="s">
        <v>123</v>
      </c>
    </row>
    <row r="7" spans="1:15">
      <c r="A7" s="3" t="s">
        <v>124</v>
      </c>
      <c r="B7" s="28" t="s">
        <v>118</v>
      </c>
      <c r="C7" s="28">
        <v>1</v>
      </c>
      <c r="D7" s="28" t="s">
        <v>119</v>
      </c>
      <c r="E7" s="28" t="s">
        <v>120</v>
      </c>
      <c r="F7" s="29">
        <v>1.3</v>
      </c>
      <c r="G7" s="29">
        <v>1.1499999999999999</v>
      </c>
      <c r="H7" s="25">
        <f>ROUND(INDEX(เลเวล!$H$5:$H$104,C7)*F7*IF(D7="บอส",ตั้งค่า!$C$29,1),0)</f>
        <v>57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ROUNDUP(H7/INDEX(เลเวล!$G$5:$G$104,C7),0)</f>
        <v>6</v>
      </c>
      <c r="O7" s="3" t="s">
        <v>125</v>
      </c>
    </row>
    <row r="8" spans="1:15">
      <c r="A8" s="3" t="s">
        <v>126</v>
      </c>
      <c r="B8" s="28" t="s">
        <v>118</v>
      </c>
      <c r="C8" s="28">
        <v>4</v>
      </c>
      <c r="D8" s="28" t="s">
        <v>119</v>
      </c>
      <c r="E8" s="28" t="s">
        <v>120</v>
      </c>
      <c r="F8" s="29">
        <v>1.4</v>
      </c>
      <c r="G8" s="29">
        <v>1.2</v>
      </c>
      <c r="H8" s="25">
        <f>ROUND(INDEX(เลเวล!$H$5:$H$104,C8)*F8*IF(D8="บอส",ตั้งค่า!$C$29,1),0)</f>
        <v>101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ROUNDUP(H8/INDEX(เลเวล!$G$5:$G$104,C8),0)</f>
        <v>6</v>
      </c>
      <c r="O8" s="3" t="s">
        <v>127</v>
      </c>
    </row>
    <row r="9" spans="1:15">
      <c r="A9" s="3" t="s">
        <v>128</v>
      </c>
      <c r="B9" s="28" t="s">
        <v>118</v>
      </c>
      <c r="C9" s="28">
        <v>5</v>
      </c>
      <c r="D9" s="28" t="s">
        <v>119</v>
      </c>
      <c r="E9" s="28" t="s">
        <v>120</v>
      </c>
      <c r="F9" s="29">
        <v>1</v>
      </c>
      <c r="G9" s="29">
        <v>1</v>
      </c>
      <c r="H9" s="25">
        <f>ROUND(INDEX(เลเวล!$H$5:$H$104,C9)*F9*IF(D9="บอส",ตั้งค่า!$C$29,1),0)</f>
        <v>82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ROUNDUP(H9/INDEX(เลเวล!$G$5:$G$104,C9),0)</f>
        <v>4</v>
      </c>
      <c r="O9" s="3" t="s">
        <v>129</v>
      </c>
    </row>
    <row r="10" spans="1:15">
      <c r="A10" s="3" t="s">
        <v>130</v>
      </c>
      <c r="B10" s="28" t="s">
        <v>118</v>
      </c>
      <c r="C10" s="28">
        <v>7</v>
      </c>
      <c r="D10" s="28" t="s">
        <v>119</v>
      </c>
      <c r="E10" s="28" t="s">
        <v>131</v>
      </c>
      <c r="F10" s="29">
        <v>1.2</v>
      </c>
      <c r="G10" s="29">
        <v>1.1499999999999999</v>
      </c>
      <c r="H10" s="25">
        <f>ROUND(INDEX(เลเวล!$H$5:$H$104,C10)*F10*IF(D10="บอส",ตั้งค่า!$C$29,1),0)</f>
        <v>125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ROUNDUP(H10/INDEX(เลเวล!$G$5:$G$104,C10),0)</f>
        <v>5</v>
      </c>
      <c r="O10" s="3" t="s">
        <v>132</v>
      </c>
    </row>
    <row r="11" spans="1:15">
      <c r="A11" s="3" t="s">
        <v>133</v>
      </c>
      <c r="B11" s="28" t="s">
        <v>118</v>
      </c>
      <c r="C11" s="28">
        <v>8</v>
      </c>
      <c r="D11" s="28" t="s">
        <v>119</v>
      </c>
      <c r="E11" s="28" t="s">
        <v>131</v>
      </c>
      <c r="F11" s="29">
        <v>1</v>
      </c>
      <c r="G11" s="29">
        <v>1</v>
      </c>
      <c r="H11" s="25">
        <f>ROUND(INDEX(เลเวล!$H$5:$H$104,C11)*F11*IF(D11="บอส",ตั้งค่า!$C$29,1),0)</f>
        <v>116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ROUNDUP(H11/INDEX(เลเวล!$G$5:$G$104,C11),0)</f>
        <v>5</v>
      </c>
      <c r="O11" s="3" t="s">
        <v>134</v>
      </c>
    </row>
    <row r="12" spans="1:15">
      <c r="A12" s="30" t="s">
        <v>135</v>
      </c>
      <c r="B12" s="31" t="s">
        <v>118</v>
      </c>
      <c r="C12" s="31">
        <v>10</v>
      </c>
      <c r="D12" s="31" t="s">
        <v>136</v>
      </c>
      <c r="E12" s="31" t="s">
        <v>131</v>
      </c>
      <c r="F12" s="29">
        <v>1</v>
      </c>
      <c r="G12" s="29">
        <v>1</v>
      </c>
      <c r="H12" s="25">
        <f>ROUND(INDEX(เลเวล!$H$5:$H$104,C12)*F12*IF(D12="บอส",ตั้งค่า!$C$29,1),0)</f>
        <v>5440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ROUNDUP(H12/INDEX(เลเวล!$G$5:$G$104,C12),0)</f>
        <v>161</v>
      </c>
      <c r="O12" s="3" t="s">
        <v>137</v>
      </c>
    </row>
    <row r="13" spans="1:15">
      <c r="A13" s="3" t="s">
        <v>138</v>
      </c>
      <c r="B13" s="28" t="s">
        <v>139</v>
      </c>
      <c r="C13" s="28">
        <v>11</v>
      </c>
      <c r="D13" s="28" t="s">
        <v>119</v>
      </c>
      <c r="E13" s="28" t="s">
        <v>120</v>
      </c>
      <c r="F13" s="29">
        <v>0.8</v>
      </c>
      <c r="G13" s="29">
        <v>0.9</v>
      </c>
      <c r="H13" s="25">
        <f>ROUND(INDEX(เลเวล!$H$5:$H$104,C13)*F13*IF(D13="บอส",ตั้งค่า!$C$29,1),0)</f>
        <v>118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ROUNDUP(H13/INDEX(เลเวล!$G$5:$G$104,C13),0)</f>
        <v>4</v>
      </c>
      <c r="O13" s="3" t="s">
        <v>140</v>
      </c>
    </row>
    <row r="14" spans="1:15">
      <c r="A14" s="3" t="s">
        <v>141</v>
      </c>
      <c r="B14" s="28" t="s">
        <v>139</v>
      </c>
      <c r="C14" s="28">
        <v>13</v>
      </c>
      <c r="D14" s="28" t="s">
        <v>119</v>
      </c>
      <c r="E14" s="28" t="s">
        <v>131</v>
      </c>
      <c r="F14" s="29">
        <v>1</v>
      </c>
      <c r="G14" s="29">
        <v>1.05</v>
      </c>
      <c r="H14" s="25">
        <f>ROUND(INDEX(เลเวล!$H$5:$H$104,C14)*F14*IF(D14="บอส",ตั้งค่า!$C$29,1),0)</f>
        <v>175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ROUNDUP(H14/INDEX(เลเวล!$G$5:$G$104,C14),0)</f>
        <v>5</v>
      </c>
      <c r="O14" s="3" t="s">
        <v>142</v>
      </c>
    </row>
    <row r="15" spans="1:15">
      <c r="A15" s="3" t="s">
        <v>143</v>
      </c>
      <c r="B15" s="28" t="s">
        <v>139</v>
      </c>
      <c r="C15" s="28">
        <v>14</v>
      </c>
      <c r="D15" s="28" t="s">
        <v>119</v>
      </c>
      <c r="E15" s="28" t="s">
        <v>120</v>
      </c>
      <c r="F15" s="29">
        <v>1.1000000000000001</v>
      </c>
      <c r="G15" s="29">
        <v>1.05</v>
      </c>
      <c r="H15" s="25">
        <f>ROUND(INDEX(เลเวล!$H$5:$H$104,C15)*F15*IF(D15="บอส",ตั้งค่า!$C$29,1),0)</f>
        <v>208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ROUNDUP(H15/INDEX(เลเวล!$G$5:$G$104,C15),0)</f>
        <v>5</v>
      </c>
      <c r="O15" s="3" t="s">
        <v>144</v>
      </c>
    </row>
    <row r="16" spans="1:15">
      <c r="A16" s="3" t="s">
        <v>145</v>
      </c>
      <c r="B16" s="28" t="s">
        <v>139</v>
      </c>
      <c r="C16" s="28">
        <v>16</v>
      </c>
      <c r="D16" s="28" t="s">
        <v>119</v>
      </c>
      <c r="E16" s="28" t="s">
        <v>131</v>
      </c>
      <c r="F16" s="29">
        <v>0.9</v>
      </c>
      <c r="G16" s="29">
        <v>1.1000000000000001</v>
      </c>
      <c r="H16" s="25">
        <f>ROUND(INDEX(เลเวล!$H$5:$H$104,C16)*F16*IF(D16="บอส",ตั้งค่า!$C$29,1),0)</f>
        <v>193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ROUNDUP(H16/INDEX(เลเวล!$G$5:$G$104,C16),0)</f>
        <v>4</v>
      </c>
      <c r="O16" s="3" t="s">
        <v>146</v>
      </c>
    </row>
    <row r="17" spans="1:15">
      <c r="A17" s="3" t="s">
        <v>147</v>
      </c>
      <c r="B17" s="28" t="s">
        <v>139</v>
      </c>
      <c r="C17" s="28">
        <v>18</v>
      </c>
      <c r="D17" s="28" t="s">
        <v>119</v>
      </c>
      <c r="E17" s="28" t="s">
        <v>131</v>
      </c>
      <c r="F17" s="29">
        <v>1.4</v>
      </c>
      <c r="G17" s="29">
        <v>1.25</v>
      </c>
      <c r="H17" s="25">
        <f>ROUND(INDEX(เลเวล!$H$5:$H$104,C17)*F17*IF(D17="บอส",ตั้งค่า!$C$29,1),0)</f>
        <v>344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ROUNDUP(H17/INDEX(เลเวล!$G$5:$G$104,C17),0)</f>
        <v>6</v>
      </c>
      <c r="O17" s="3" t="s">
        <v>148</v>
      </c>
    </row>
    <row r="18" spans="1:15">
      <c r="A18" s="30" t="s">
        <v>149</v>
      </c>
      <c r="B18" s="31" t="s">
        <v>139</v>
      </c>
      <c r="C18" s="31">
        <v>20</v>
      </c>
      <c r="D18" s="31" t="s">
        <v>136</v>
      </c>
      <c r="E18" s="31" t="s">
        <v>131</v>
      </c>
      <c r="F18" s="29">
        <v>1</v>
      </c>
      <c r="G18" s="29">
        <v>1</v>
      </c>
      <c r="H18" s="25">
        <f>ROUND(INDEX(เลเวล!$H$5:$H$104,C18)*F18*IF(D18="บอส",ตั้งค่า!$C$29,1),0)</f>
        <v>11000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ROUNDUP(H18/INDEX(เลเวล!$G$5:$G$104,C18),0)</f>
        <v>160</v>
      </c>
      <c r="O18" s="3" t="s">
        <v>150</v>
      </c>
    </row>
    <row r="19" spans="1:15">
      <c r="A19" s="3" t="s">
        <v>151</v>
      </c>
      <c r="B19" s="28" t="s">
        <v>152</v>
      </c>
      <c r="C19" s="28">
        <v>22</v>
      </c>
      <c r="D19" s="28" t="s">
        <v>119</v>
      </c>
      <c r="E19" s="28" t="s">
        <v>131</v>
      </c>
      <c r="F19" s="29">
        <v>1.2</v>
      </c>
      <c r="G19" s="29">
        <v>1.1000000000000001</v>
      </c>
      <c r="H19" s="25">
        <f>ROUND(INDEX(เลเวล!$H$5:$H$104,C19)*F19*IF(D19="บอส",ตั้งค่า!$C$29,1),0)</f>
        <v>373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ROUNDUP(H19/INDEX(เลเวล!$G$5:$G$104,C19),0)</f>
        <v>5</v>
      </c>
      <c r="O19" s="3" t="s">
        <v>153</v>
      </c>
    </row>
    <row r="20" spans="1:15">
      <c r="A20" s="3" t="s">
        <v>154</v>
      </c>
      <c r="B20" s="28" t="s">
        <v>152</v>
      </c>
      <c r="C20" s="28">
        <v>24</v>
      </c>
      <c r="D20" s="28" t="s">
        <v>119</v>
      </c>
      <c r="E20" s="28" t="s">
        <v>131</v>
      </c>
      <c r="F20" s="29">
        <v>0.8</v>
      </c>
      <c r="G20" s="29">
        <v>0.9</v>
      </c>
      <c r="H20" s="25">
        <f>ROUND(INDEX(เลเวล!$H$5:$H$104,C20)*F20*IF(D20="บอส",ตั้งค่า!$C$29,1),0)</f>
        <v>277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ROUNDUP(H20/INDEX(เลเวล!$G$5:$G$104,C20),0)</f>
        <v>4</v>
      </c>
      <c r="O20" s="3" t="s">
        <v>155</v>
      </c>
    </row>
    <row r="21" spans="1:15">
      <c r="A21" s="3" t="s">
        <v>156</v>
      </c>
      <c r="B21" s="28" t="s">
        <v>152</v>
      </c>
      <c r="C21" s="28">
        <v>26</v>
      </c>
      <c r="D21" s="28" t="s">
        <v>119</v>
      </c>
      <c r="E21" s="28" t="s">
        <v>131</v>
      </c>
      <c r="F21" s="29">
        <v>0.9</v>
      </c>
      <c r="G21" s="29">
        <v>1.05</v>
      </c>
      <c r="H21" s="25">
        <f>ROUND(INDEX(เลเวล!$H$5:$H$104,C21)*F21*IF(D21="บอส",ตั้งค่า!$C$29,1),0)</f>
        <v>348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ROUNDUP(H21/INDEX(เลเวล!$G$5:$G$104,C21),0)</f>
        <v>4</v>
      </c>
      <c r="O21" s="3" t="s">
        <v>157</v>
      </c>
    </row>
    <row r="22" spans="1:15">
      <c r="A22" s="3" t="s">
        <v>158</v>
      </c>
      <c r="B22" s="28" t="s">
        <v>152</v>
      </c>
      <c r="C22" s="28">
        <v>29</v>
      </c>
      <c r="D22" s="28" t="s">
        <v>119</v>
      </c>
      <c r="E22" s="28" t="s">
        <v>131</v>
      </c>
      <c r="F22" s="29">
        <v>1.1000000000000001</v>
      </c>
      <c r="G22" s="29">
        <v>1.1000000000000001</v>
      </c>
      <c r="H22" s="25">
        <f>ROUND(INDEX(เลเวล!$H$5:$H$104,C22)*F22*IF(D22="บอส",ตั้งค่า!$C$29,1),0)</f>
        <v>495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ROUNDUP(H22/INDEX(เลเวล!$G$5:$G$104,C22),0)</f>
        <v>5</v>
      </c>
      <c r="O22" s="3" t="s">
        <v>159</v>
      </c>
    </row>
    <row r="23" spans="1:15">
      <c r="A23" s="3" t="s">
        <v>160</v>
      </c>
      <c r="B23" s="28" t="s">
        <v>152</v>
      </c>
      <c r="C23" s="28">
        <v>32</v>
      </c>
      <c r="D23" s="28" t="s">
        <v>119</v>
      </c>
      <c r="E23" s="28" t="s">
        <v>131</v>
      </c>
      <c r="F23" s="29">
        <v>1.6</v>
      </c>
      <c r="G23" s="29">
        <v>1.35</v>
      </c>
      <c r="H23" s="25">
        <f>ROUND(INDEX(เลเวล!$H$5:$H$104,C23)*F23*IF(D23="บอส",ตั้งค่า!$C$29,1),0)</f>
        <v>830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ROUNDUP(H23/INDEX(เลเวล!$G$5:$G$104,C23),0)</f>
        <v>7</v>
      </c>
      <c r="O23" s="3" t="s">
        <v>161</v>
      </c>
    </row>
    <row r="24" spans="1:15">
      <c r="A24" s="30" t="s">
        <v>162</v>
      </c>
      <c r="B24" s="31" t="s">
        <v>152</v>
      </c>
      <c r="C24" s="31">
        <v>35</v>
      </c>
      <c r="D24" s="31" t="s">
        <v>136</v>
      </c>
      <c r="E24" s="31" t="s">
        <v>131</v>
      </c>
      <c r="F24" s="29">
        <v>1</v>
      </c>
      <c r="G24" s="29">
        <v>1</v>
      </c>
      <c r="H24" s="25">
        <f>ROUND(INDEX(เลเวล!$H$5:$H$104,C24)*F24*IF(D24="บอส",ตั้งค่า!$C$29,1),0)</f>
        <v>23840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ROUNDUP(H24/INDEX(เลเวล!$G$5:$G$104,C24),0)</f>
        <v>161</v>
      </c>
      <c r="O24" s="3" t="s">
        <v>163</v>
      </c>
    </row>
    <row r="25" spans="1:15">
      <c r="A25" s="3" t="s">
        <v>164</v>
      </c>
      <c r="B25" s="28" t="s">
        <v>165</v>
      </c>
      <c r="C25" s="28">
        <v>38</v>
      </c>
      <c r="D25" s="28" t="s">
        <v>119</v>
      </c>
      <c r="E25" s="28" t="s">
        <v>131</v>
      </c>
      <c r="F25" s="29">
        <v>1</v>
      </c>
      <c r="G25" s="29">
        <v>1.05</v>
      </c>
      <c r="H25" s="25">
        <f>ROUND(INDEX(เลเวล!$H$5:$H$104,C25)*F25*IF(D25="บอส",ตั้งค่า!$C$29,1),0)</f>
        <v>680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ROUNDUP(H25/INDEX(เลเวล!$G$5:$G$104,C25),0)</f>
        <v>5</v>
      </c>
      <c r="O25" s="3" t="s">
        <v>166</v>
      </c>
    </row>
    <row r="26" spans="1:15">
      <c r="A26" s="3" t="s">
        <v>167</v>
      </c>
      <c r="B26" s="28" t="s">
        <v>165</v>
      </c>
      <c r="C26" s="28">
        <v>41</v>
      </c>
      <c r="D26" s="28" t="s">
        <v>119</v>
      </c>
      <c r="E26" s="28" t="s">
        <v>131</v>
      </c>
      <c r="F26" s="29">
        <v>0.8</v>
      </c>
      <c r="G26" s="29">
        <v>1</v>
      </c>
      <c r="H26" s="25">
        <f>ROUND(INDEX(เลเวล!$H$5:$H$104,C26)*F26*IF(D26="บอส",ตั้งค่า!$C$29,1),0)</f>
        <v>618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ROUNDUP(H26/INDEX(เลเวล!$G$5:$G$104,C26),0)</f>
        <v>4</v>
      </c>
      <c r="O26" s="3" t="s">
        <v>168</v>
      </c>
    </row>
    <row r="27" spans="1:15">
      <c r="A27" s="3" t="s">
        <v>169</v>
      </c>
      <c r="B27" s="28" t="s">
        <v>165</v>
      </c>
      <c r="C27" s="28">
        <v>43</v>
      </c>
      <c r="D27" s="28" t="s">
        <v>119</v>
      </c>
      <c r="E27" s="28" t="s">
        <v>131</v>
      </c>
      <c r="F27" s="29">
        <v>1</v>
      </c>
      <c r="G27" s="29">
        <v>1</v>
      </c>
      <c r="H27" s="25">
        <f>ROUND(INDEX(เลเวล!$H$5:$H$104,C27)*F27*IF(D27="บอส",ตั้งค่า!$C$29,1),0)</f>
        <v>838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ROUNDUP(H27/INDEX(เลเวล!$G$5:$G$104,C27),0)</f>
        <v>4</v>
      </c>
      <c r="O27" s="3" t="s">
        <v>170</v>
      </c>
    </row>
    <row r="28" spans="1:15">
      <c r="A28" s="3" t="s">
        <v>171</v>
      </c>
      <c r="B28" s="28" t="s">
        <v>165</v>
      </c>
      <c r="C28" s="28">
        <v>46</v>
      </c>
      <c r="D28" s="28" t="s">
        <v>119</v>
      </c>
      <c r="E28" s="28" t="s">
        <v>131</v>
      </c>
      <c r="F28" s="29">
        <v>1.2</v>
      </c>
      <c r="G28" s="29">
        <v>1.1000000000000001</v>
      </c>
      <c r="H28" s="25">
        <f>ROUND(INDEX(เลเวล!$H$5:$H$104,C28)*F28*IF(D28="บอส",ตั้งค่า!$C$29,1),0)</f>
        <v>1136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ROUNDUP(H28/INDEX(เลเวล!$G$5:$G$104,C28),0)</f>
        <v>5</v>
      </c>
      <c r="O28" s="3" t="s">
        <v>172</v>
      </c>
    </row>
    <row r="29" spans="1:15">
      <c r="A29" s="3" t="s">
        <v>173</v>
      </c>
      <c r="B29" s="28" t="s">
        <v>165</v>
      </c>
      <c r="C29" s="28">
        <v>50</v>
      </c>
      <c r="D29" s="28" t="s">
        <v>119</v>
      </c>
      <c r="E29" s="28" t="s">
        <v>131</v>
      </c>
      <c r="F29" s="29">
        <v>1.5</v>
      </c>
      <c r="G29" s="29">
        <v>1.3</v>
      </c>
      <c r="H29" s="25">
        <f>ROUND(INDEX(เลเวล!$H$5:$H$104,C29)*F29*IF(D29="บอส",ตั้งค่า!$C$29,1),0)</f>
        <v>1652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ROUNDUP(H29/INDEX(เลเวล!$G$5:$G$104,C29),0)</f>
        <v>7</v>
      </c>
      <c r="O29" s="3" t="s">
        <v>174</v>
      </c>
    </row>
    <row r="30" spans="1:15">
      <c r="A30" s="30" t="s">
        <v>175</v>
      </c>
      <c r="B30" s="31" t="s">
        <v>165</v>
      </c>
      <c r="C30" s="31">
        <v>55</v>
      </c>
      <c r="D30" s="31" t="s">
        <v>136</v>
      </c>
      <c r="E30" s="31" t="s">
        <v>131</v>
      </c>
      <c r="F30" s="29">
        <v>1</v>
      </c>
      <c r="G30" s="29">
        <v>1</v>
      </c>
      <c r="H30" s="25">
        <f>ROUND(INDEX(เลเวล!$H$5:$H$104,C30)*F30*IF(D30="บอส",ตั้งค่า!$C$29,1),0)</f>
        <v>53200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ROUNDUP(H30/INDEX(เลเวล!$G$5:$G$104,C30),0)</f>
        <v>160</v>
      </c>
      <c r="O30" s="3" t="s">
        <v>176</v>
      </c>
    </row>
    <row r="31" spans="1:15">
      <c r="A31" s="3" t="s">
        <v>177</v>
      </c>
      <c r="B31" s="28" t="s">
        <v>178</v>
      </c>
      <c r="C31" s="28">
        <v>58</v>
      </c>
      <c r="D31" s="28" t="s">
        <v>119</v>
      </c>
      <c r="E31" s="28" t="s">
        <v>131</v>
      </c>
      <c r="F31" s="29">
        <v>1.3</v>
      </c>
      <c r="G31" s="29">
        <v>1.1499999999999999</v>
      </c>
      <c r="H31" s="25">
        <f>ROUND(INDEX(เลเวล!$H$5:$H$104,C31)*F31*IF(D31="บอส",ตั้งค่า!$C$29,1),0)</f>
        <v>1927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ROUNDUP(H31/INDEX(เลเวล!$G$5:$G$104,C31),0)</f>
        <v>6</v>
      </c>
      <c r="O31" s="3" t="s">
        <v>179</v>
      </c>
    </row>
    <row r="32" spans="1:15">
      <c r="A32" s="3" t="s">
        <v>180</v>
      </c>
      <c r="B32" s="28" t="s">
        <v>178</v>
      </c>
      <c r="C32" s="28">
        <v>61</v>
      </c>
      <c r="D32" s="28" t="s">
        <v>119</v>
      </c>
      <c r="E32" s="28" t="s">
        <v>131</v>
      </c>
      <c r="F32" s="29">
        <v>1.2</v>
      </c>
      <c r="G32" s="29">
        <v>1.1000000000000001</v>
      </c>
      <c r="H32" s="25">
        <f>ROUND(INDEX(เลเวล!$H$5:$H$104,C32)*F32*IF(D32="บอส",ตั้งค่า!$C$29,1),0)</f>
        <v>1973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ROUNDUP(H32/INDEX(เลเวล!$G$5:$G$104,C32),0)</f>
        <v>5</v>
      </c>
      <c r="O32" s="3" t="s">
        <v>181</v>
      </c>
    </row>
    <row r="33" spans="1:15">
      <c r="A33" s="3" t="s">
        <v>182</v>
      </c>
      <c r="B33" s="28" t="s">
        <v>178</v>
      </c>
      <c r="C33" s="28">
        <v>64</v>
      </c>
      <c r="D33" s="28" t="s">
        <v>119</v>
      </c>
      <c r="E33" s="28" t="s">
        <v>131</v>
      </c>
      <c r="F33" s="29">
        <v>0.9</v>
      </c>
      <c r="G33" s="29">
        <v>1.05</v>
      </c>
      <c r="H33" s="25">
        <f>ROUND(INDEX(เลเวล!$H$5:$H$104,C33)*F33*IF(D33="บอส",ตั้งค่า!$C$29,1),0)</f>
        <v>1643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ROUNDUP(H33/INDEX(เลเวล!$G$5:$G$104,C33),0)</f>
        <v>4</v>
      </c>
      <c r="O33" s="3" t="s">
        <v>183</v>
      </c>
    </row>
    <row r="34" spans="1:15">
      <c r="A34" s="3" t="s">
        <v>184</v>
      </c>
      <c r="B34" s="28" t="s">
        <v>178</v>
      </c>
      <c r="C34" s="28">
        <v>67</v>
      </c>
      <c r="D34" s="28" t="s">
        <v>119</v>
      </c>
      <c r="E34" s="28" t="s">
        <v>131</v>
      </c>
      <c r="F34" s="29">
        <v>1.5</v>
      </c>
      <c r="G34" s="29">
        <v>1.25</v>
      </c>
      <c r="H34" s="25">
        <f>ROUND(INDEX(เลเวล!$H$5:$H$104,C34)*F34*IF(D34="บอส",ตั้งค่า!$C$29,1),0)</f>
        <v>3030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ROUNDUP(H34/INDEX(เลเวล!$G$5:$G$104,C34),0)</f>
        <v>6</v>
      </c>
      <c r="O34" s="3" t="s">
        <v>185</v>
      </c>
    </row>
    <row r="35" spans="1:15">
      <c r="A35" s="3" t="s">
        <v>186</v>
      </c>
      <c r="B35" s="28" t="s">
        <v>178</v>
      </c>
      <c r="C35" s="28">
        <v>71</v>
      </c>
      <c r="D35" s="28" t="s">
        <v>119</v>
      </c>
      <c r="E35" s="28" t="s">
        <v>131</v>
      </c>
      <c r="F35" s="29">
        <v>1.2</v>
      </c>
      <c r="G35" s="29">
        <v>1.1499999999999999</v>
      </c>
      <c r="H35" s="25">
        <f>ROUND(INDEX(เลเวล!$H$5:$H$104,C35)*F35*IF(D35="บอส",ตั้งค่า!$C$29,1),0)</f>
        <v>2774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ROUNDUP(H35/INDEX(เลเวล!$G$5:$G$104,C35),0)</f>
        <v>5</v>
      </c>
      <c r="O35" s="3" t="s">
        <v>187</v>
      </c>
    </row>
    <row r="36" spans="1:15">
      <c r="A36" s="30" t="s">
        <v>188</v>
      </c>
      <c r="B36" s="31" t="s">
        <v>178</v>
      </c>
      <c r="C36" s="31">
        <v>75</v>
      </c>
      <c r="D36" s="31" t="s">
        <v>136</v>
      </c>
      <c r="E36" s="31" t="s">
        <v>131</v>
      </c>
      <c r="F36" s="29">
        <v>1</v>
      </c>
      <c r="G36" s="29">
        <v>1</v>
      </c>
      <c r="H36" s="25">
        <f>ROUND(INDEX(เลเวล!$H$5:$H$104,C36)*F36*IF(D36="บอส",ตั้งค่า!$C$29,1),0)</f>
        <v>105240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ROUNDUP(H36/INDEX(เลเวล!$G$5:$G$104,C36),0)</f>
        <v>161</v>
      </c>
      <c r="O36" s="3" t="s">
        <v>189</v>
      </c>
    </row>
    <row r="37" spans="1:15">
      <c r="A37" s="3" t="s">
        <v>190</v>
      </c>
      <c r="B37" s="28" t="s">
        <v>191</v>
      </c>
      <c r="C37" s="28">
        <v>80</v>
      </c>
      <c r="D37" s="28" t="s">
        <v>119</v>
      </c>
      <c r="E37" s="28" t="s">
        <v>131</v>
      </c>
      <c r="F37" s="29">
        <v>1.2</v>
      </c>
      <c r="G37" s="29">
        <v>1.1000000000000001</v>
      </c>
      <c r="H37" s="25">
        <f>ROUND(INDEX(เลเวล!$H$5:$H$104,C37)*F37*IF(D37="บอส",ตั้งค่า!$C$29,1),0)</f>
        <v>3703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ROUNDUP(H37/INDEX(เลเวล!$G$5:$G$104,C37),0)</f>
        <v>5</v>
      </c>
      <c r="O37" s="3" t="s">
        <v>192</v>
      </c>
    </row>
    <row r="38" spans="1:15">
      <c r="A38" s="3" t="s">
        <v>193</v>
      </c>
      <c r="B38" s="28" t="s">
        <v>191</v>
      </c>
      <c r="C38" s="28">
        <v>84</v>
      </c>
      <c r="D38" s="28" t="s">
        <v>119</v>
      </c>
      <c r="E38" s="28" t="s">
        <v>131</v>
      </c>
      <c r="F38" s="29">
        <v>1.1000000000000001</v>
      </c>
      <c r="G38" s="29">
        <v>1.05</v>
      </c>
      <c r="H38" s="25">
        <f>ROUND(INDEX(เลเวล!$H$5:$H$104,C38)*F38*IF(D38="บอส",ตั้งค่า!$C$29,1),0)</f>
        <v>3850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ROUNDUP(H38/INDEX(เลเวล!$G$5:$G$104,C38),0)</f>
        <v>5</v>
      </c>
      <c r="O38" s="3" t="s">
        <v>194</v>
      </c>
    </row>
    <row r="39" spans="1:15">
      <c r="A39" s="3" t="s">
        <v>195</v>
      </c>
      <c r="B39" s="28" t="s">
        <v>191</v>
      </c>
      <c r="C39" s="28">
        <v>88</v>
      </c>
      <c r="D39" s="28" t="s">
        <v>119</v>
      </c>
      <c r="E39" s="28" t="s">
        <v>131</v>
      </c>
      <c r="F39" s="29">
        <v>0.9</v>
      </c>
      <c r="G39" s="29">
        <v>1</v>
      </c>
      <c r="H39" s="25">
        <f>ROUND(INDEX(เลเวล!$H$5:$H$104,C39)*F39*IF(D39="บอส",ตั้งค่า!$C$29,1),0)</f>
        <v>3563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ROUNDUP(H39/INDEX(เลเวล!$G$5:$G$104,C39),0)</f>
        <v>4</v>
      </c>
      <c r="O39" s="3" t="s">
        <v>196</v>
      </c>
    </row>
    <row r="40" spans="1:15">
      <c r="A40" s="3" t="s">
        <v>197</v>
      </c>
      <c r="B40" s="28" t="s">
        <v>191</v>
      </c>
      <c r="C40" s="28">
        <v>92</v>
      </c>
      <c r="D40" s="28" t="s">
        <v>119</v>
      </c>
      <c r="E40" s="28" t="s">
        <v>131</v>
      </c>
      <c r="F40" s="29">
        <v>1</v>
      </c>
      <c r="G40" s="29">
        <v>1.05</v>
      </c>
      <c r="H40" s="25">
        <f>ROUND(INDEX(เลเวล!$H$5:$H$104,C40)*F40*IF(D40="บอส",ตั้งค่า!$C$29,1),0)</f>
        <v>4468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ROUNDUP(H40/INDEX(เลเวล!$G$5:$G$104,C40),0)</f>
        <v>4</v>
      </c>
      <c r="O40" s="3" t="s">
        <v>198</v>
      </c>
    </row>
    <row r="41" spans="1:15">
      <c r="A41" s="3" t="s">
        <v>199</v>
      </c>
      <c r="B41" s="28" t="s">
        <v>191</v>
      </c>
      <c r="C41" s="28">
        <v>96</v>
      </c>
      <c r="D41" s="28" t="s">
        <v>119</v>
      </c>
      <c r="E41" s="28" t="s">
        <v>131</v>
      </c>
      <c r="F41" s="29">
        <v>1.3</v>
      </c>
      <c r="G41" s="29">
        <v>1.2</v>
      </c>
      <c r="H41" s="25">
        <f>ROUND(INDEX(เลเวล!$H$5:$H$104,C41)*F41*IF(D41="บอส",ตั้งค่า!$C$29,1),0)</f>
        <v>6549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ROUNDUP(H41/INDEX(เลเวล!$G$5:$G$104,C41),0)</f>
        <v>6</v>
      </c>
      <c r="O41" s="3"/>
    </row>
    <row r="42" spans="1:15">
      <c r="A42" s="30" t="s">
        <v>200</v>
      </c>
      <c r="B42" s="31" t="s">
        <v>191</v>
      </c>
      <c r="C42" s="31">
        <v>100</v>
      </c>
      <c r="D42" s="31" t="s">
        <v>136</v>
      </c>
      <c r="E42" s="31" t="s">
        <v>131</v>
      </c>
      <c r="F42" s="29">
        <v>1</v>
      </c>
      <c r="G42" s="29">
        <v>1</v>
      </c>
      <c r="H42" s="25">
        <f>ROUND(INDEX(เลเวล!$H$5:$H$104,C42)*F42*IF(D42="บอส",ตั้งค่า!$C$29,1),0)</f>
        <v>226640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ROUNDUP(H42/INDEX(เลเวล!$G$5:$G$104,C42),0)</f>
        <v>160</v>
      </c>
      <c r="O42" s="3" t="s">
        <v>201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คำอธิบาย</vt:lpstr>
      <vt:lpstr>ตั้งค่า</vt:lpstr>
      <vt:lpstr>เลเวล</vt:lpstr>
      <vt:lpstr>มอน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Kenny Parker</cp:lastModifiedBy>
  <cp:revision>1</cp:revision>
  <dcterms:created xsi:type="dcterms:W3CDTF">2026-09-29T11:40:36Z</dcterms:created>
  <dcterms:modified xsi:type="dcterms:W3CDTF">2026-09-29T13:44:17Z</dcterms:modified>
  <dc:language>en-US</dc:language>
</cp:coreProperties>
</file>