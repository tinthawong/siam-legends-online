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enio\Downloads\siam-legends-online (2)\siam-legends-online\balance\"/>
    </mc:Choice>
  </mc:AlternateContent>
  <xr:revisionPtr revIDLastSave="0" documentId="13_ncr:1_{C4D56A65-6C81-4F9B-8778-C8DB7F9A73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คำอธิบาย" sheetId="1" r:id="rId1"/>
    <sheet name="ตั้งค่า" sheetId="2" r:id="rId2"/>
    <sheet name="เลเวล" sheetId="3" r:id="rId3"/>
    <sheet name="มอน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04" i="3" l="1"/>
  <c r="E104" i="3"/>
  <c r="I104" i="3" s="1"/>
  <c r="J42" i="4" s="1"/>
  <c r="D104" i="3"/>
  <c r="B104" i="3"/>
  <c r="J103" i="3"/>
  <c r="E103" i="3"/>
  <c r="I103" i="3" s="1"/>
  <c r="D103" i="3"/>
  <c r="B103" i="3"/>
  <c r="J102" i="3"/>
  <c r="E102" i="3"/>
  <c r="I102" i="3" s="1"/>
  <c r="D102" i="3"/>
  <c r="B102" i="3"/>
  <c r="J101" i="3"/>
  <c r="E101" i="3"/>
  <c r="I101" i="3" s="1"/>
  <c r="D101" i="3"/>
  <c r="B101" i="3"/>
  <c r="J100" i="3"/>
  <c r="E100" i="3"/>
  <c r="I100" i="3" s="1"/>
  <c r="J41" i="4" s="1"/>
  <c r="D100" i="3"/>
  <c r="B100" i="3"/>
  <c r="J99" i="3"/>
  <c r="E99" i="3"/>
  <c r="I99" i="3" s="1"/>
  <c r="D99" i="3"/>
  <c r="B99" i="3"/>
  <c r="J98" i="3"/>
  <c r="E98" i="3"/>
  <c r="I98" i="3" s="1"/>
  <c r="D98" i="3"/>
  <c r="F98" i="3" s="1"/>
  <c r="B98" i="3"/>
  <c r="J97" i="3"/>
  <c r="E97" i="3"/>
  <c r="I97" i="3" s="1"/>
  <c r="D97" i="3"/>
  <c r="F97" i="3" s="1"/>
  <c r="B97" i="3"/>
  <c r="J96" i="3"/>
  <c r="E96" i="3"/>
  <c r="I96" i="3" s="1"/>
  <c r="J40" i="4" s="1"/>
  <c r="D96" i="3"/>
  <c r="F96" i="3" s="1"/>
  <c r="I40" i="4" s="1"/>
  <c r="B96" i="3"/>
  <c r="J95" i="3"/>
  <c r="E95" i="3"/>
  <c r="I95" i="3" s="1"/>
  <c r="D95" i="3"/>
  <c r="B95" i="3"/>
  <c r="J94" i="3"/>
  <c r="E94" i="3"/>
  <c r="I94" i="3" s="1"/>
  <c r="D94" i="3"/>
  <c r="B94" i="3"/>
  <c r="J93" i="3"/>
  <c r="E93" i="3"/>
  <c r="I93" i="3" s="1"/>
  <c r="D93" i="3"/>
  <c r="B93" i="3"/>
  <c r="J92" i="3"/>
  <c r="E92" i="3"/>
  <c r="I92" i="3" s="1"/>
  <c r="J39" i="4" s="1"/>
  <c r="D92" i="3"/>
  <c r="F92" i="3" s="1"/>
  <c r="B92" i="3"/>
  <c r="J91" i="3"/>
  <c r="E91" i="3"/>
  <c r="I91" i="3" s="1"/>
  <c r="D91" i="3"/>
  <c r="B91" i="3"/>
  <c r="J90" i="3"/>
  <c r="E90" i="3"/>
  <c r="I90" i="3" s="1"/>
  <c r="D90" i="3"/>
  <c r="F90" i="3" s="1"/>
  <c r="G90" i="3" s="1"/>
  <c r="H90" i="3" s="1"/>
  <c r="B90" i="3"/>
  <c r="J89" i="3"/>
  <c r="F89" i="3"/>
  <c r="G89" i="3" s="1"/>
  <c r="H89" i="3" s="1"/>
  <c r="E89" i="3"/>
  <c r="I89" i="3" s="1"/>
  <c r="D89" i="3"/>
  <c r="B89" i="3"/>
  <c r="J88" i="3"/>
  <c r="E88" i="3"/>
  <c r="I88" i="3" s="1"/>
  <c r="J38" i="4" s="1"/>
  <c r="D88" i="3"/>
  <c r="F88" i="3" s="1"/>
  <c r="I38" i="4" s="1"/>
  <c r="B88" i="3"/>
  <c r="J87" i="3"/>
  <c r="E87" i="3"/>
  <c r="I87" i="3" s="1"/>
  <c r="D87" i="3"/>
  <c r="F87" i="3" s="1"/>
  <c r="G87" i="3" s="1"/>
  <c r="H87" i="3" s="1"/>
  <c r="B87" i="3"/>
  <c r="J86" i="3"/>
  <c r="E86" i="3"/>
  <c r="I86" i="3" s="1"/>
  <c r="D86" i="3"/>
  <c r="F86" i="3" s="1"/>
  <c r="B86" i="3"/>
  <c r="J85" i="3"/>
  <c r="F85" i="3"/>
  <c r="G85" i="3" s="1"/>
  <c r="H85" i="3" s="1"/>
  <c r="E85" i="3"/>
  <c r="I85" i="3" s="1"/>
  <c r="D85" i="3"/>
  <c r="B85" i="3"/>
  <c r="J84" i="3"/>
  <c r="E84" i="3"/>
  <c r="I84" i="3" s="1"/>
  <c r="J37" i="4" s="1"/>
  <c r="D84" i="3"/>
  <c r="B84" i="3"/>
  <c r="J83" i="3"/>
  <c r="E83" i="3"/>
  <c r="I83" i="3" s="1"/>
  <c r="D83" i="3"/>
  <c r="F83" i="3" s="1"/>
  <c r="B83" i="3"/>
  <c r="J82" i="3"/>
  <c r="E82" i="3"/>
  <c r="I82" i="3" s="1"/>
  <c r="D82" i="3"/>
  <c r="F82" i="3" s="1"/>
  <c r="B82" i="3"/>
  <c r="J81" i="3"/>
  <c r="E81" i="3"/>
  <c r="I81" i="3" s="1"/>
  <c r="D81" i="3"/>
  <c r="F81" i="3" s="1"/>
  <c r="G81" i="3" s="1"/>
  <c r="H81" i="3" s="1"/>
  <c r="B81" i="3"/>
  <c r="J80" i="3"/>
  <c r="E80" i="3"/>
  <c r="I80" i="3" s="1"/>
  <c r="D80" i="3"/>
  <c r="F80" i="3" s="1"/>
  <c r="B80" i="3"/>
  <c r="J79" i="3"/>
  <c r="E79" i="3"/>
  <c r="I79" i="3" s="1"/>
  <c r="J36" i="4" s="1"/>
  <c r="D79" i="3"/>
  <c r="B79" i="3"/>
  <c r="J78" i="3"/>
  <c r="E78" i="3"/>
  <c r="I78" i="3" s="1"/>
  <c r="D78" i="3"/>
  <c r="B78" i="3"/>
  <c r="J77" i="3"/>
  <c r="E77" i="3"/>
  <c r="I77" i="3" s="1"/>
  <c r="D77" i="3"/>
  <c r="F77" i="3" s="1"/>
  <c r="B77" i="3"/>
  <c r="J76" i="3"/>
  <c r="E76" i="3"/>
  <c r="I76" i="3" s="1"/>
  <c r="D76" i="3"/>
  <c r="F76" i="3" s="1"/>
  <c r="G76" i="3" s="1"/>
  <c r="H76" i="3" s="1"/>
  <c r="B76" i="3"/>
  <c r="J75" i="3"/>
  <c r="E75" i="3"/>
  <c r="I75" i="3" s="1"/>
  <c r="J35" i="4" s="1"/>
  <c r="D75" i="3"/>
  <c r="B75" i="3"/>
  <c r="J74" i="3"/>
  <c r="E74" i="3"/>
  <c r="I74" i="3" s="1"/>
  <c r="D74" i="3"/>
  <c r="B74" i="3"/>
  <c r="J73" i="3"/>
  <c r="E73" i="3"/>
  <c r="I73" i="3" s="1"/>
  <c r="D73" i="3"/>
  <c r="F73" i="3" s="1"/>
  <c r="G73" i="3" s="1"/>
  <c r="H73" i="3" s="1"/>
  <c r="B73" i="3"/>
  <c r="J72" i="3"/>
  <c r="E72" i="3"/>
  <c r="I72" i="3" s="1"/>
  <c r="D72" i="3"/>
  <c r="B72" i="3"/>
  <c r="J71" i="3"/>
  <c r="E71" i="3"/>
  <c r="I71" i="3" s="1"/>
  <c r="J34" i="4" s="1"/>
  <c r="D71" i="3"/>
  <c r="F71" i="3" s="1"/>
  <c r="I34" i="4" s="1"/>
  <c r="B71" i="3"/>
  <c r="J70" i="3"/>
  <c r="E70" i="3"/>
  <c r="I70" i="3" s="1"/>
  <c r="D70" i="3"/>
  <c r="B70" i="3"/>
  <c r="J69" i="3"/>
  <c r="E69" i="3"/>
  <c r="I69" i="3" s="1"/>
  <c r="D69" i="3"/>
  <c r="B69" i="3"/>
  <c r="J68" i="3"/>
  <c r="E68" i="3"/>
  <c r="I68" i="3" s="1"/>
  <c r="J33" i="4" s="1"/>
  <c r="D68" i="3"/>
  <c r="F68" i="3" s="1"/>
  <c r="I33" i="4" s="1"/>
  <c r="B68" i="3"/>
  <c r="J67" i="3"/>
  <c r="E67" i="3"/>
  <c r="I67" i="3" s="1"/>
  <c r="D67" i="3"/>
  <c r="B67" i="3"/>
  <c r="J66" i="3"/>
  <c r="E66" i="3"/>
  <c r="I66" i="3" s="1"/>
  <c r="D66" i="3"/>
  <c r="B66" i="3"/>
  <c r="J65" i="3"/>
  <c r="F65" i="3"/>
  <c r="I32" i="4" s="1"/>
  <c r="E65" i="3"/>
  <c r="I65" i="3" s="1"/>
  <c r="J32" i="4" s="1"/>
  <c r="D65" i="3"/>
  <c r="B65" i="3"/>
  <c r="J64" i="3"/>
  <c r="E64" i="3"/>
  <c r="I64" i="3" s="1"/>
  <c r="D64" i="3"/>
  <c r="F64" i="3" s="1"/>
  <c r="B64" i="3"/>
  <c r="J63" i="3"/>
  <c r="E63" i="3"/>
  <c r="I63" i="3" s="1"/>
  <c r="D63" i="3"/>
  <c r="F63" i="3" s="1"/>
  <c r="G63" i="3" s="1"/>
  <c r="H63" i="3" s="1"/>
  <c r="B63" i="3"/>
  <c r="J62" i="3"/>
  <c r="E62" i="3"/>
  <c r="I62" i="3" s="1"/>
  <c r="J31" i="4" s="1"/>
  <c r="D62" i="3"/>
  <c r="F62" i="3" s="1"/>
  <c r="I31" i="4" s="1"/>
  <c r="B62" i="3"/>
  <c r="J61" i="3"/>
  <c r="E61" i="3"/>
  <c r="I61" i="3" s="1"/>
  <c r="D61" i="3"/>
  <c r="F61" i="3" s="1"/>
  <c r="B61" i="3"/>
  <c r="J60" i="3"/>
  <c r="E60" i="3"/>
  <c r="I60" i="3" s="1"/>
  <c r="D60" i="3"/>
  <c r="F60" i="3" s="1"/>
  <c r="G60" i="3" s="1"/>
  <c r="H60" i="3" s="1"/>
  <c r="B60" i="3"/>
  <c r="J59" i="3"/>
  <c r="E59" i="3"/>
  <c r="I59" i="3" s="1"/>
  <c r="J30" i="4" s="1"/>
  <c r="D59" i="3"/>
  <c r="B59" i="3"/>
  <c r="J58" i="3"/>
  <c r="E58" i="3"/>
  <c r="I58" i="3" s="1"/>
  <c r="D58" i="3"/>
  <c r="F58" i="3" s="1"/>
  <c r="G58" i="3" s="1"/>
  <c r="H58" i="3" s="1"/>
  <c r="B58" i="3"/>
  <c r="J57" i="3"/>
  <c r="I57" i="3"/>
  <c r="E57" i="3"/>
  <c r="D57" i="3"/>
  <c r="B57" i="3"/>
  <c r="J56" i="3"/>
  <c r="E56" i="3"/>
  <c r="I56" i="3" s="1"/>
  <c r="D56" i="3"/>
  <c r="B56" i="3"/>
  <c r="J55" i="3"/>
  <c r="E55" i="3"/>
  <c r="I55" i="3" s="1"/>
  <c r="D55" i="3"/>
  <c r="B55" i="3"/>
  <c r="J54" i="3"/>
  <c r="E54" i="3"/>
  <c r="I54" i="3" s="1"/>
  <c r="J29" i="4" s="1"/>
  <c r="D54" i="3"/>
  <c r="F54" i="3" s="1"/>
  <c r="I29" i="4" s="1"/>
  <c r="B54" i="3"/>
  <c r="J53" i="3"/>
  <c r="E53" i="3"/>
  <c r="I53" i="3" s="1"/>
  <c r="D53" i="3"/>
  <c r="B53" i="3"/>
  <c r="J52" i="3"/>
  <c r="E52" i="3"/>
  <c r="I52" i="3" s="1"/>
  <c r="D52" i="3"/>
  <c r="B52" i="3"/>
  <c r="J51" i="3"/>
  <c r="E51" i="3"/>
  <c r="I51" i="3" s="1"/>
  <c r="D51" i="3"/>
  <c r="B51" i="3"/>
  <c r="J50" i="3"/>
  <c r="E50" i="3"/>
  <c r="I50" i="3" s="1"/>
  <c r="J28" i="4" s="1"/>
  <c r="D50" i="3"/>
  <c r="F50" i="3" s="1"/>
  <c r="B50" i="3"/>
  <c r="J49" i="3"/>
  <c r="E49" i="3"/>
  <c r="I49" i="3" s="1"/>
  <c r="D49" i="3"/>
  <c r="B49" i="3"/>
  <c r="J48" i="3"/>
  <c r="E48" i="3"/>
  <c r="I48" i="3" s="1"/>
  <c r="D48" i="3"/>
  <c r="F48" i="3" s="1"/>
  <c r="B48" i="3"/>
  <c r="J47" i="3"/>
  <c r="E47" i="3"/>
  <c r="I47" i="3" s="1"/>
  <c r="J27" i="4" s="1"/>
  <c r="D47" i="3"/>
  <c r="B47" i="3"/>
  <c r="J46" i="3"/>
  <c r="E46" i="3"/>
  <c r="I46" i="3" s="1"/>
  <c r="D46" i="3"/>
  <c r="F46" i="3" s="1"/>
  <c r="B46" i="3"/>
  <c r="J45" i="3"/>
  <c r="E45" i="3"/>
  <c r="I45" i="3" s="1"/>
  <c r="J26" i="4" s="1"/>
  <c r="D45" i="3"/>
  <c r="F45" i="3" s="1"/>
  <c r="B45" i="3"/>
  <c r="J44" i="3"/>
  <c r="G44" i="3"/>
  <c r="H44" i="3" s="1"/>
  <c r="E44" i="3"/>
  <c r="I44" i="3" s="1"/>
  <c r="D44" i="3"/>
  <c r="F44" i="3" s="1"/>
  <c r="B44" i="3"/>
  <c r="J43" i="3"/>
  <c r="E43" i="3"/>
  <c r="I43" i="3" s="1"/>
  <c r="D43" i="3"/>
  <c r="B43" i="3"/>
  <c r="J42" i="3"/>
  <c r="E42" i="3"/>
  <c r="I42" i="3" s="1"/>
  <c r="J25" i="4" s="1"/>
  <c r="D42" i="3"/>
  <c r="F42" i="3" s="1"/>
  <c r="I25" i="4" s="1"/>
  <c r="B42" i="3"/>
  <c r="J41" i="3"/>
  <c r="E41" i="3"/>
  <c r="I41" i="3" s="1"/>
  <c r="D41" i="3"/>
  <c r="F41" i="3" s="1"/>
  <c r="G41" i="3" s="1"/>
  <c r="H41" i="3" s="1"/>
  <c r="B41" i="3"/>
  <c r="J40" i="3"/>
  <c r="E40" i="3"/>
  <c r="I40" i="3" s="1"/>
  <c r="D40" i="3"/>
  <c r="F40" i="3" s="1"/>
  <c r="B40" i="3"/>
  <c r="J39" i="3"/>
  <c r="E39" i="3"/>
  <c r="I39" i="3" s="1"/>
  <c r="J24" i="4" s="1"/>
  <c r="D39" i="3"/>
  <c r="F39" i="3" s="1"/>
  <c r="I24" i="4" s="1"/>
  <c r="B39" i="3"/>
  <c r="J38" i="3"/>
  <c r="E38" i="3"/>
  <c r="I38" i="3" s="1"/>
  <c r="D38" i="3"/>
  <c r="B38" i="3"/>
  <c r="J37" i="3"/>
  <c r="E37" i="3"/>
  <c r="I37" i="3" s="1"/>
  <c r="D37" i="3"/>
  <c r="F37" i="3" s="1"/>
  <c r="G37" i="3" s="1"/>
  <c r="H37" i="3" s="1"/>
  <c r="B37" i="3"/>
  <c r="J36" i="3"/>
  <c r="E36" i="3"/>
  <c r="I36" i="3" s="1"/>
  <c r="J23" i="4" s="1"/>
  <c r="D36" i="3"/>
  <c r="F36" i="3" s="1"/>
  <c r="I23" i="4" s="1"/>
  <c r="B36" i="3"/>
  <c r="J35" i="3"/>
  <c r="E35" i="3"/>
  <c r="I35" i="3" s="1"/>
  <c r="D35" i="3"/>
  <c r="B35" i="3"/>
  <c r="J34" i="3"/>
  <c r="E34" i="3"/>
  <c r="I34" i="3" s="1"/>
  <c r="D34" i="3"/>
  <c r="F34" i="3" s="1"/>
  <c r="B34" i="3"/>
  <c r="J33" i="3"/>
  <c r="E33" i="3"/>
  <c r="I33" i="3" s="1"/>
  <c r="J22" i="4" s="1"/>
  <c r="D33" i="3"/>
  <c r="F33" i="3" s="1"/>
  <c r="I22" i="4" s="1"/>
  <c r="B33" i="3"/>
  <c r="J32" i="3"/>
  <c r="E32" i="3"/>
  <c r="I32" i="3" s="1"/>
  <c r="D32" i="3"/>
  <c r="F32" i="3" s="1"/>
  <c r="B32" i="3"/>
  <c r="J31" i="3"/>
  <c r="E31" i="3"/>
  <c r="I31" i="3" s="1"/>
  <c r="D31" i="3"/>
  <c r="B31" i="3"/>
  <c r="J30" i="3"/>
  <c r="E30" i="3"/>
  <c r="I30" i="3" s="1"/>
  <c r="J21" i="4" s="1"/>
  <c r="D30" i="3"/>
  <c r="B30" i="3"/>
  <c r="J29" i="3"/>
  <c r="E29" i="3"/>
  <c r="I29" i="3" s="1"/>
  <c r="D29" i="3"/>
  <c r="B29" i="3"/>
  <c r="J28" i="3"/>
  <c r="I28" i="3"/>
  <c r="J20" i="4" s="1"/>
  <c r="E28" i="3"/>
  <c r="D28" i="3"/>
  <c r="F28" i="3" s="1"/>
  <c r="I20" i="4" s="1"/>
  <c r="B28" i="3"/>
  <c r="J27" i="3"/>
  <c r="E27" i="3"/>
  <c r="I27" i="3" s="1"/>
  <c r="D27" i="3"/>
  <c r="F27" i="3" s="1"/>
  <c r="B27" i="3"/>
  <c r="J26" i="3"/>
  <c r="E26" i="3"/>
  <c r="I26" i="3" s="1"/>
  <c r="J19" i="4" s="1"/>
  <c r="D26" i="3"/>
  <c r="B26" i="3"/>
  <c r="J25" i="3"/>
  <c r="E25" i="3"/>
  <c r="I25" i="3" s="1"/>
  <c r="D25" i="3"/>
  <c r="F25" i="3" s="1"/>
  <c r="G25" i="3" s="1"/>
  <c r="H25" i="3" s="1"/>
  <c r="B25" i="3"/>
  <c r="J24" i="3"/>
  <c r="E24" i="3"/>
  <c r="I24" i="3" s="1"/>
  <c r="J18" i="4" s="1"/>
  <c r="D24" i="3"/>
  <c r="B24" i="3"/>
  <c r="J23" i="3"/>
  <c r="E23" i="3"/>
  <c r="I23" i="3" s="1"/>
  <c r="D23" i="3"/>
  <c r="B23" i="3"/>
  <c r="J22" i="3"/>
  <c r="E22" i="3"/>
  <c r="I22" i="3" s="1"/>
  <c r="J17" i="4" s="1"/>
  <c r="D22" i="3"/>
  <c r="F22" i="3" s="1"/>
  <c r="I17" i="4" s="1"/>
  <c r="B22" i="3"/>
  <c r="J21" i="3"/>
  <c r="E21" i="3"/>
  <c r="I21" i="3" s="1"/>
  <c r="D21" i="3"/>
  <c r="F21" i="3" s="1"/>
  <c r="G21" i="3" s="1"/>
  <c r="H21" i="3" s="1"/>
  <c r="B21" i="3"/>
  <c r="J20" i="3"/>
  <c r="E20" i="3"/>
  <c r="I20" i="3" s="1"/>
  <c r="J16" i="4" s="1"/>
  <c r="D20" i="3"/>
  <c r="B20" i="3"/>
  <c r="J19" i="3"/>
  <c r="E19" i="3"/>
  <c r="I19" i="3" s="1"/>
  <c r="D19" i="3"/>
  <c r="F19" i="3" s="1"/>
  <c r="B19" i="3"/>
  <c r="J18" i="3"/>
  <c r="E18" i="3"/>
  <c r="I18" i="3" s="1"/>
  <c r="J15" i="4" s="1"/>
  <c r="D18" i="3"/>
  <c r="B18" i="3"/>
  <c r="J17" i="3"/>
  <c r="E17" i="3"/>
  <c r="I17" i="3" s="1"/>
  <c r="J14" i="4" s="1"/>
  <c r="D17" i="3"/>
  <c r="B17" i="3"/>
  <c r="J16" i="3"/>
  <c r="E16" i="3"/>
  <c r="I16" i="3" s="1"/>
  <c r="D16" i="3"/>
  <c r="F16" i="3" s="1"/>
  <c r="G16" i="3" s="1"/>
  <c r="H16" i="3" s="1"/>
  <c r="B16" i="3"/>
  <c r="J15" i="3"/>
  <c r="E15" i="3"/>
  <c r="I15" i="3" s="1"/>
  <c r="J13" i="4" s="1"/>
  <c r="D15" i="3"/>
  <c r="B15" i="3"/>
  <c r="J14" i="3"/>
  <c r="I14" i="3"/>
  <c r="J12" i="4" s="1"/>
  <c r="E14" i="3"/>
  <c r="D14" i="3"/>
  <c r="F14" i="3" s="1"/>
  <c r="I12" i="4" s="1"/>
  <c r="B14" i="3"/>
  <c r="J13" i="3"/>
  <c r="E13" i="3"/>
  <c r="I13" i="3" s="1"/>
  <c r="D13" i="3"/>
  <c r="F13" i="3" s="1"/>
  <c r="B13" i="3"/>
  <c r="J12" i="3"/>
  <c r="E12" i="3"/>
  <c r="I12" i="3" s="1"/>
  <c r="J11" i="4" s="1"/>
  <c r="D12" i="3"/>
  <c r="F12" i="3" s="1"/>
  <c r="I11" i="4" s="1"/>
  <c r="B12" i="3"/>
  <c r="J11" i="3"/>
  <c r="E11" i="3"/>
  <c r="I11" i="3" s="1"/>
  <c r="J10" i="4" s="1"/>
  <c r="D11" i="3"/>
  <c r="F11" i="3" s="1"/>
  <c r="I10" i="4" s="1"/>
  <c r="B11" i="3"/>
  <c r="J10" i="3"/>
  <c r="E10" i="3"/>
  <c r="I10" i="3" s="1"/>
  <c r="D10" i="3"/>
  <c r="F10" i="3" s="1"/>
  <c r="G10" i="3" s="1"/>
  <c r="H10" i="3" s="1"/>
  <c r="B10" i="3"/>
  <c r="J9" i="3"/>
  <c r="E9" i="3"/>
  <c r="I9" i="3" s="1"/>
  <c r="J9" i="4" s="1"/>
  <c r="D9" i="3"/>
  <c r="B9" i="3"/>
  <c r="J8" i="3"/>
  <c r="E8" i="3"/>
  <c r="I8" i="3" s="1"/>
  <c r="J8" i="4" s="1"/>
  <c r="D8" i="3"/>
  <c r="F8" i="3" s="1"/>
  <c r="I8" i="4" s="1"/>
  <c r="B8" i="3"/>
  <c r="J7" i="3"/>
  <c r="E7" i="3"/>
  <c r="I7" i="3" s="1"/>
  <c r="J43" i="4" s="1"/>
  <c r="D7" i="3"/>
  <c r="F7" i="3" s="1"/>
  <c r="I43" i="4" s="1"/>
  <c r="B7" i="3"/>
  <c r="J6" i="3"/>
  <c r="E6" i="3"/>
  <c r="I6" i="3" s="1"/>
  <c r="J6" i="4" s="1"/>
  <c r="D6" i="3"/>
  <c r="B6" i="3"/>
  <c r="R5" i="3"/>
  <c r="J5" i="3"/>
  <c r="E5" i="3"/>
  <c r="I5" i="3" s="1"/>
  <c r="J5" i="4" s="1"/>
  <c r="D5" i="3"/>
  <c r="F5" i="3" s="1"/>
  <c r="I5" i="4" s="1"/>
  <c r="C5" i="3"/>
  <c r="B5" i="3"/>
  <c r="C10" i="2"/>
  <c r="K92" i="3" s="1"/>
  <c r="K8" i="3" l="1"/>
  <c r="K46" i="3"/>
  <c r="K69" i="3"/>
  <c r="L69" i="3" s="1"/>
  <c r="K21" i="3"/>
  <c r="K75" i="3"/>
  <c r="K35" i="3"/>
  <c r="K28" i="3"/>
  <c r="K78" i="3"/>
  <c r="L78" i="3" s="1"/>
  <c r="M78" i="3" s="1"/>
  <c r="K11" i="3"/>
  <c r="K65" i="3"/>
  <c r="K62" i="3"/>
  <c r="L62" i="3" s="1"/>
  <c r="M62" i="3" s="1"/>
  <c r="P62" i="3" s="1"/>
  <c r="Q62" i="3" s="1"/>
  <c r="C6" i="3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K5" i="3"/>
  <c r="L5" i="3" s="1"/>
  <c r="M5" i="3" s="1"/>
  <c r="P5" i="3" s="1"/>
  <c r="K18" i="3"/>
  <c r="L18" i="3" s="1"/>
  <c r="M18" i="3" s="1"/>
  <c r="P18" i="3" s="1"/>
  <c r="Q18" i="3" s="1"/>
  <c r="F78" i="3"/>
  <c r="G78" i="3" s="1"/>
  <c r="H78" i="3" s="1"/>
  <c r="K32" i="3"/>
  <c r="L32" i="3" s="1"/>
  <c r="M32" i="3" s="1"/>
  <c r="P32" i="3" s="1"/>
  <c r="Q32" i="3" s="1"/>
  <c r="L65" i="3"/>
  <c r="M65" i="3" s="1"/>
  <c r="O65" i="3" s="1"/>
  <c r="M32" i="4" s="1"/>
  <c r="L75" i="3"/>
  <c r="M75" i="3" s="1"/>
  <c r="P75" i="3" s="1"/>
  <c r="Q75" i="3" s="1"/>
  <c r="K25" i="3"/>
  <c r="L25" i="3" s="1"/>
  <c r="M25" i="3" s="1"/>
  <c r="N25" i="3" s="1"/>
  <c r="G39" i="3"/>
  <c r="H39" i="3" s="1"/>
  <c r="H24" i="4" s="1"/>
  <c r="N24" i="4" s="1"/>
  <c r="K56" i="3"/>
  <c r="L56" i="3" s="1"/>
  <c r="M56" i="3" s="1"/>
  <c r="K72" i="3"/>
  <c r="L72" i="3" s="1"/>
  <c r="K89" i="3"/>
  <c r="L89" i="3" s="1"/>
  <c r="M89" i="3" s="1"/>
  <c r="L8" i="3"/>
  <c r="K53" i="3"/>
  <c r="L53" i="3" s="1"/>
  <c r="M53" i="3" s="1"/>
  <c r="G97" i="3"/>
  <c r="H97" i="3" s="1"/>
  <c r="K15" i="3"/>
  <c r="L15" i="3" s="1"/>
  <c r="M15" i="3" s="1"/>
  <c r="K26" i="3"/>
  <c r="L26" i="3" s="1"/>
  <c r="M26" i="3" s="1"/>
  <c r="G47" i="3"/>
  <c r="H47" i="3" s="1"/>
  <c r="H27" i="4" s="1"/>
  <c r="N27" i="4" s="1"/>
  <c r="G67" i="3"/>
  <c r="H67" i="3" s="1"/>
  <c r="K76" i="3"/>
  <c r="L76" i="3" s="1"/>
  <c r="M76" i="3" s="1"/>
  <c r="N76" i="3" s="1"/>
  <c r="G83" i="3"/>
  <c r="H83" i="3" s="1"/>
  <c r="K12" i="3"/>
  <c r="L12" i="3" s="1"/>
  <c r="M12" i="3" s="1"/>
  <c r="F30" i="3"/>
  <c r="I21" i="4" s="1"/>
  <c r="K60" i="3"/>
  <c r="L60" i="3" s="1"/>
  <c r="M60" i="3" s="1"/>
  <c r="F70" i="3"/>
  <c r="G70" i="3" s="1"/>
  <c r="H70" i="3" s="1"/>
  <c r="F94" i="3"/>
  <c r="G94" i="3" s="1"/>
  <c r="H94" i="3" s="1"/>
  <c r="K33" i="3"/>
  <c r="L33" i="3" s="1"/>
  <c r="M33" i="3" s="1"/>
  <c r="F47" i="3"/>
  <c r="I27" i="4" s="1"/>
  <c r="F67" i="3"/>
  <c r="K73" i="3"/>
  <c r="L73" i="3" s="1"/>
  <c r="K20" i="3"/>
  <c r="L20" i="3" s="1"/>
  <c r="M20" i="3" s="1"/>
  <c r="K44" i="3"/>
  <c r="L44" i="3" s="1"/>
  <c r="M44" i="3" s="1"/>
  <c r="P44" i="3" s="1"/>
  <c r="Q44" i="3" s="1"/>
  <c r="G61" i="3"/>
  <c r="H61" i="3" s="1"/>
  <c r="F74" i="3"/>
  <c r="G74" i="3" s="1"/>
  <c r="H74" i="3" s="1"/>
  <c r="K91" i="3"/>
  <c r="L91" i="3" s="1"/>
  <c r="M91" i="3" s="1"/>
  <c r="K36" i="3"/>
  <c r="L36" i="3" s="1"/>
  <c r="M36" i="3" s="1"/>
  <c r="K23" i="4" s="1"/>
  <c r="K9" i="3"/>
  <c r="L9" i="3" s="1"/>
  <c r="G13" i="3"/>
  <c r="H13" i="3" s="1"/>
  <c r="G33" i="3"/>
  <c r="H33" i="3" s="1"/>
  <c r="H22" i="4" s="1"/>
  <c r="N22" i="4" s="1"/>
  <c r="G54" i="3"/>
  <c r="H54" i="3" s="1"/>
  <c r="H29" i="4" s="1"/>
  <c r="N29" i="4" s="1"/>
  <c r="I7" i="4"/>
  <c r="G34" i="3"/>
  <c r="H34" i="3" s="1"/>
  <c r="J7" i="4"/>
  <c r="K31" i="3"/>
  <c r="L31" i="3" s="1"/>
  <c r="M31" i="3" s="1"/>
  <c r="P31" i="3" s="1"/>
  <c r="Q31" i="3" s="1"/>
  <c r="G48" i="3"/>
  <c r="H48" i="3" s="1"/>
  <c r="K64" i="3"/>
  <c r="L64" i="3" s="1"/>
  <c r="M64" i="3" s="1"/>
  <c r="K77" i="3"/>
  <c r="L77" i="3" s="1"/>
  <c r="M77" i="3" s="1"/>
  <c r="P77" i="3" s="1"/>
  <c r="Q77" i="3" s="1"/>
  <c r="K84" i="3"/>
  <c r="K40" i="3"/>
  <c r="L40" i="3" s="1"/>
  <c r="M40" i="3" s="1"/>
  <c r="P40" i="3" s="1"/>
  <c r="Q40" i="3" s="1"/>
  <c r="K27" i="3"/>
  <c r="L27" i="3" s="1"/>
  <c r="M27" i="3" s="1"/>
  <c r="O27" i="3" s="1"/>
  <c r="K16" i="3"/>
  <c r="L16" i="3" s="1"/>
  <c r="M16" i="3" s="1"/>
  <c r="O16" i="3" s="1"/>
  <c r="K37" i="3"/>
  <c r="K51" i="3"/>
  <c r="L51" i="3" s="1"/>
  <c r="M51" i="3" s="1"/>
  <c r="N51" i="3" s="1"/>
  <c r="G68" i="3"/>
  <c r="H68" i="3" s="1"/>
  <c r="H33" i="4" s="1"/>
  <c r="N33" i="4" s="1"/>
  <c r="K13" i="3"/>
  <c r="L13" i="3" s="1"/>
  <c r="K71" i="3"/>
  <c r="L71" i="3" s="1"/>
  <c r="M71" i="3" s="1"/>
  <c r="O71" i="3" s="1"/>
  <c r="M34" i="4" s="1"/>
  <c r="L11" i="3"/>
  <c r="M11" i="3" s="1"/>
  <c r="N11" i="3" s="1"/>
  <c r="L10" i="4" s="1"/>
  <c r="K57" i="3"/>
  <c r="K80" i="3"/>
  <c r="L80" i="3" s="1"/>
  <c r="M80" i="3" s="1"/>
  <c r="O80" i="3" s="1"/>
  <c r="G28" i="3"/>
  <c r="H28" i="3" s="1"/>
  <c r="H20" i="4" s="1"/>
  <c r="N20" i="4" s="1"/>
  <c r="K7" i="3"/>
  <c r="L7" i="3" s="1"/>
  <c r="M7" i="3" s="1"/>
  <c r="K43" i="4" s="1"/>
  <c r="K41" i="3"/>
  <c r="L41" i="3" s="1"/>
  <c r="M41" i="3" s="1"/>
  <c r="K55" i="3"/>
  <c r="L55" i="3" s="1"/>
  <c r="M55" i="3" s="1"/>
  <c r="P55" i="3" s="1"/>
  <c r="Q55" i="3" s="1"/>
  <c r="K58" i="3"/>
  <c r="L58" i="3" s="1"/>
  <c r="M58" i="3" s="1"/>
  <c r="K61" i="3"/>
  <c r="L61" i="3" s="1"/>
  <c r="M61" i="3" s="1"/>
  <c r="K68" i="3"/>
  <c r="L68" i="3" s="1"/>
  <c r="M68" i="3" s="1"/>
  <c r="L92" i="3"/>
  <c r="M92" i="3" s="1"/>
  <c r="P92" i="3" s="1"/>
  <c r="Q92" i="3" s="1"/>
  <c r="K38" i="3"/>
  <c r="L38" i="3" s="1"/>
  <c r="G96" i="3"/>
  <c r="H96" i="3" s="1"/>
  <c r="H40" i="4" s="1"/>
  <c r="N40" i="4" s="1"/>
  <c r="K17" i="3"/>
  <c r="L17" i="3" s="1"/>
  <c r="M17" i="3" s="1"/>
  <c r="K45" i="3"/>
  <c r="L45" i="3" s="1"/>
  <c r="M45" i="3" s="1"/>
  <c r="N45" i="3" s="1"/>
  <c r="L26" i="4" s="1"/>
  <c r="K48" i="3"/>
  <c r="L48" i="3" s="1"/>
  <c r="M48" i="3" s="1"/>
  <c r="K52" i="3"/>
  <c r="L52" i="3" s="1"/>
  <c r="M52" i="3" s="1"/>
  <c r="P52" i="3" s="1"/>
  <c r="Q52" i="3" s="1"/>
  <c r="O78" i="3"/>
  <c r="N78" i="3"/>
  <c r="O25" i="3"/>
  <c r="P71" i="3"/>
  <c r="Q71" i="3" s="1"/>
  <c r="K5" i="4"/>
  <c r="O5" i="3"/>
  <c r="M5" i="4" s="1"/>
  <c r="N5" i="3"/>
  <c r="L5" i="4" s="1"/>
  <c r="K7" i="4"/>
  <c r="F38" i="3"/>
  <c r="G38" i="3" s="1"/>
  <c r="H38" i="3" s="1"/>
  <c r="F57" i="3"/>
  <c r="G57" i="3" s="1"/>
  <c r="H57" i="3" s="1"/>
  <c r="M72" i="3"/>
  <c r="P72" i="3" s="1"/>
  <c r="Q72" i="3" s="1"/>
  <c r="G36" i="3"/>
  <c r="H36" i="3" s="1"/>
  <c r="H23" i="4" s="1"/>
  <c r="N23" i="4" s="1"/>
  <c r="F6" i="3"/>
  <c r="I6" i="4" s="1"/>
  <c r="F15" i="3"/>
  <c r="I13" i="4" s="1"/>
  <c r="F24" i="3"/>
  <c r="I18" i="4" s="1"/>
  <c r="G24" i="3"/>
  <c r="H24" i="3" s="1"/>
  <c r="H18" i="4" s="1"/>
  <c r="N18" i="4" s="1"/>
  <c r="G82" i="3"/>
  <c r="H82" i="3" s="1"/>
  <c r="K39" i="4"/>
  <c r="N92" i="3"/>
  <c r="L39" i="4" s="1"/>
  <c r="O92" i="3"/>
  <c r="M39" i="4" s="1"/>
  <c r="G22" i="3"/>
  <c r="H22" i="3" s="1"/>
  <c r="H17" i="4" s="1"/>
  <c r="N17" i="4" s="1"/>
  <c r="G77" i="3"/>
  <c r="H77" i="3" s="1"/>
  <c r="M38" i="3"/>
  <c r="P38" i="3" s="1"/>
  <c r="Q38" i="3" s="1"/>
  <c r="L28" i="3"/>
  <c r="M28" i="3" s="1"/>
  <c r="G55" i="3"/>
  <c r="H55" i="3" s="1"/>
  <c r="F55" i="3"/>
  <c r="F75" i="3"/>
  <c r="I35" i="4" s="1"/>
  <c r="F9" i="3"/>
  <c r="I9" i="4" s="1"/>
  <c r="N27" i="3"/>
  <c r="P27" i="3"/>
  <c r="Q27" i="3" s="1"/>
  <c r="P51" i="3"/>
  <c r="Q51" i="3" s="1"/>
  <c r="G65" i="3"/>
  <c r="H65" i="3" s="1"/>
  <c r="H32" i="4" s="1"/>
  <c r="N32" i="4" s="1"/>
  <c r="G80" i="3"/>
  <c r="H80" i="3" s="1"/>
  <c r="F84" i="3"/>
  <c r="I37" i="4" s="1"/>
  <c r="G84" i="3"/>
  <c r="H84" i="3" s="1"/>
  <c r="H37" i="4" s="1"/>
  <c r="N37" i="4" s="1"/>
  <c r="M9" i="3"/>
  <c r="G7" i="3"/>
  <c r="H7" i="3" s="1"/>
  <c r="L37" i="3"/>
  <c r="M37" i="3" s="1"/>
  <c r="K32" i="4"/>
  <c r="F49" i="3"/>
  <c r="G49" i="3" s="1"/>
  <c r="H49" i="3" s="1"/>
  <c r="G12" i="3"/>
  <c r="H12" i="3" s="1"/>
  <c r="H11" i="4" s="1"/>
  <c r="N11" i="4" s="1"/>
  <c r="G19" i="3"/>
  <c r="H19" i="3" s="1"/>
  <c r="I28" i="4"/>
  <c r="G50" i="3"/>
  <c r="H50" i="3" s="1"/>
  <c r="H28" i="4" s="1"/>
  <c r="N28" i="4" s="1"/>
  <c r="I39" i="4"/>
  <c r="G92" i="3"/>
  <c r="H92" i="3" s="1"/>
  <c r="H39" i="4" s="1"/>
  <c r="N39" i="4" s="1"/>
  <c r="G27" i="3"/>
  <c r="H27" i="3" s="1"/>
  <c r="G56" i="3"/>
  <c r="H56" i="3" s="1"/>
  <c r="N60" i="3"/>
  <c r="O60" i="3"/>
  <c r="P60" i="3"/>
  <c r="Q60" i="3" s="1"/>
  <c r="F18" i="3"/>
  <c r="I15" i="4" s="1"/>
  <c r="O40" i="3"/>
  <c r="F52" i="3"/>
  <c r="G52" i="3" s="1"/>
  <c r="H52" i="3" s="1"/>
  <c r="F35" i="3"/>
  <c r="G35" i="3" s="1"/>
  <c r="H35" i="3" s="1"/>
  <c r="G32" i="3"/>
  <c r="H32" i="3" s="1"/>
  <c r="F59" i="3"/>
  <c r="I30" i="4" s="1"/>
  <c r="F79" i="3"/>
  <c r="I36" i="4" s="1"/>
  <c r="L84" i="3"/>
  <c r="M8" i="3"/>
  <c r="F29" i="3"/>
  <c r="G29" i="3" s="1"/>
  <c r="H29" i="3" s="1"/>
  <c r="F43" i="3"/>
  <c r="G43" i="3" s="1"/>
  <c r="H43" i="3" s="1"/>
  <c r="G69" i="3"/>
  <c r="H69" i="3" s="1"/>
  <c r="L21" i="3"/>
  <c r="M21" i="3" s="1"/>
  <c r="F26" i="3"/>
  <c r="I19" i="4" s="1"/>
  <c r="L35" i="3"/>
  <c r="M35" i="3" s="1"/>
  <c r="G40" i="3"/>
  <c r="H40" i="3" s="1"/>
  <c r="L46" i="3"/>
  <c r="M46" i="3" s="1"/>
  <c r="L57" i="3"/>
  <c r="M57" i="3" s="1"/>
  <c r="G64" i="3"/>
  <c r="H64" i="3" s="1"/>
  <c r="F69" i="3"/>
  <c r="G88" i="3"/>
  <c r="H88" i="3" s="1"/>
  <c r="H38" i="4" s="1"/>
  <c r="N38" i="4" s="1"/>
  <c r="G14" i="3"/>
  <c r="H14" i="3" s="1"/>
  <c r="H12" i="4" s="1"/>
  <c r="N12" i="4" s="1"/>
  <c r="F17" i="3"/>
  <c r="I14" i="4" s="1"/>
  <c r="F20" i="3"/>
  <c r="I16" i="4" s="1"/>
  <c r="F23" i="3"/>
  <c r="G23" i="3" s="1"/>
  <c r="H23" i="3" s="1"/>
  <c r="F56" i="3"/>
  <c r="G71" i="3"/>
  <c r="H71" i="3" s="1"/>
  <c r="H34" i="4" s="1"/>
  <c r="N34" i="4" s="1"/>
  <c r="F91" i="3"/>
  <c r="G91" i="3" s="1"/>
  <c r="H91" i="3" s="1"/>
  <c r="F72" i="3"/>
  <c r="G72" i="3"/>
  <c r="H72" i="3" s="1"/>
  <c r="G11" i="3"/>
  <c r="H11" i="3" s="1"/>
  <c r="H10" i="4" s="1"/>
  <c r="N10" i="4" s="1"/>
  <c r="G5" i="3"/>
  <c r="H5" i="3" s="1"/>
  <c r="H5" i="4" s="1"/>
  <c r="N5" i="4" s="1"/>
  <c r="G8" i="3"/>
  <c r="H8" i="3" s="1"/>
  <c r="H8" i="4" s="1"/>
  <c r="N8" i="4" s="1"/>
  <c r="G66" i="3"/>
  <c r="H66" i="3" s="1"/>
  <c r="G46" i="3"/>
  <c r="H46" i="3" s="1"/>
  <c r="M73" i="3"/>
  <c r="P73" i="3"/>
  <c r="Q73" i="3" s="1"/>
  <c r="P78" i="3"/>
  <c r="Q78" i="3" s="1"/>
  <c r="P69" i="3"/>
  <c r="Q69" i="3" s="1"/>
  <c r="P25" i="3"/>
  <c r="Q25" i="3" s="1"/>
  <c r="F31" i="3"/>
  <c r="G31" i="3" s="1"/>
  <c r="H31" i="3" s="1"/>
  <c r="I26" i="4"/>
  <c r="G45" i="3"/>
  <c r="H45" i="3" s="1"/>
  <c r="H26" i="4" s="1"/>
  <c r="N26" i="4" s="1"/>
  <c r="F53" i="3"/>
  <c r="G53" i="3" s="1"/>
  <c r="H53" i="3" s="1"/>
  <c r="F66" i="3"/>
  <c r="M69" i="3"/>
  <c r="F93" i="3"/>
  <c r="G93" i="3" s="1"/>
  <c r="H93" i="3" s="1"/>
  <c r="F51" i="3"/>
  <c r="G51" i="3" s="1"/>
  <c r="H51" i="3" s="1"/>
  <c r="M13" i="3"/>
  <c r="G42" i="3"/>
  <c r="H42" i="3" s="1"/>
  <c r="H25" i="4" s="1"/>
  <c r="N25" i="4" s="1"/>
  <c r="K42" i="3"/>
  <c r="L42" i="3" s="1"/>
  <c r="M42" i="3" s="1"/>
  <c r="K49" i="3"/>
  <c r="L49" i="3" s="1"/>
  <c r="M49" i="3" s="1"/>
  <c r="M81" i="3"/>
  <c r="P81" i="3"/>
  <c r="Q81" i="3" s="1"/>
  <c r="K82" i="3"/>
  <c r="L82" i="3" s="1"/>
  <c r="M82" i="3" s="1"/>
  <c r="P82" i="3" s="1"/>
  <c r="Q82" i="3" s="1"/>
  <c r="M84" i="3"/>
  <c r="F95" i="3"/>
  <c r="G95" i="3" s="1"/>
  <c r="H95" i="3" s="1"/>
  <c r="K6" i="3"/>
  <c r="L6" i="3" s="1"/>
  <c r="M6" i="3" s="1"/>
  <c r="P6" i="3" s="1"/>
  <c r="Q6" i="3" s="1"/>
  <c r="K24" i="3"/>
  <c r="L24" i="3" s="1"/>
  <c r="M24" i="3" s="1"/>
  <c r="G62" i="3"/>
  <c r="H62" i="3" s="1"/>
  <c r="H31" i="4" s="1"/>
  <c r="N31" i="4" s="1"/>
  <c r="K66" i="3"/>
  <c r="L66" i="3" s="1"/>
  <c r="M66" i="3" s="1"/>
  <c r="K85" i="3"/>
  <c r="L85" i="3" s="1"/>
  <c r="M85" i="3" s="1"/>
  <c r="P85" i="3" s="1"/>
  <c r="Q85" i="3" s="1"/>
  <c r="K88" i="3"/>
  <c r="L88" i="3" s="1"/>
  <c r="M88" i="3" s="1"/>
  <c r="K93" i="3"/>
  <c r="L93" i="3" s="1"/>
  <c r="M93" i="3" s="1"/>
  <c r="K81" i="3"/>
  <c r="L81" i="3" s="1"/>
  <c r="G86" i="3"/>
  <c r="H86" i="3" s="1"/>
  <c r="G98" i="3"/>
  <c r="H98" i="3" s="1"/>
  <c r="G104" i="3"/>
  <c r="H104" i="3" s="1"/>
  <c r="H42" i="4" s="1"/>
  <c r="N42" i="4" s="1"/>
  <c r="K100" i="3"/>
  <c r="L100" i="3" s="1"/>
  <c r="M100" i="3" s="1"/>
  <c r="K87" i="3"/>
  <c r="L87" i="3" s="1"/>
  <c r="M87" i="3" s="1"/>
  <c r="K67" i="3"/>
  <c r="L67" i="3" s="1"/>
  <c r="M67" i="3" s="1"/>
  <c r="K94" i="3"/>
  <c r="L94" i="3" s="1"/>
  <c r="M94" i="3" s="1"/>
  <c r="K74" i="3"/>
  <c r="L74" i="3" s="1"/>
  <c r="M74" i="3" s="1"/>
  <c r="P74" i="3" s="1"/>
  <c r="Q74" i="3" s="1"/>
  <c r="K54" i="3"/>
  <c r="L54" i="3" s="1"/>
  <c r="M54" i="3" s="1"/>
  <c r="K34" i="3"/>
  <c r="L34" i="3" s="1"/>
  <c r="M34" i="3" s="1"/>
  <c r="K14" i="3"/>
  <c r="L14" i="3" s="1"/>
  <c r="M14" i="3" s="1"/>
  <c r="P14" i="3" s="1"/>
  <c r="Q14" i="3" s="1"/>
  <c r="K101" i="3"/>
  <c r="L101" i="3" s="1"/>
  <c r="M101" i="3" s="1"/>
  <c r="K95" i="3"/>
  <c r="L95" i="3" s="1"/>
  <c r="M95" i="3" s="1"/>
  <c r="K102" i="3"/>
  <c r="L102" i="3" s="1"/>
  <c r="M102" i="3" s="1"/>
  <c r="K96" i="3"/>
  <c r="L96" i="3" s="1"/>
  <c r="M96" i="3" s="1"/>
  <c r="K103" i="3"/>
  <c r="L103" i="3" s="1"/>
  <c r="K83" i="3"/>
  <c r="L83" i="3" s="1"/>
  <c r="M83" i="3" s="1"/>
  <c r="K63" i="3"/>
  <c r="L63" i="3" s="1"/>
  <c r="M63" i="3" s="1"/>
  <c r="K43" i="3"/>
  <c r="L43" i="3" s="1"/>
  <c r="M43" i="3" s="1"/>
  <c r="K23" i="3"/>
  <c r="L23" i="3" s="1"/>
  <c r="M23" i="3" s="1"/>
  <c r="K10" i="3"/>
  <c r="L10" i="3" s="1"/>
  <c r="M10" i="3" s="1"/>
  <c r="K90" i="3"/>
  <c r="L90" i="3" s="1"/>
  <c r="M90" i="3" s="1"/>
  <c r="K70" i="3"/>
  <c r="L70" i="3" s="1"/>
  <c r="M70" i="3" s="1"/>
  <c r="K50" i="3"/>
  <c r="L50" i="3" s="1"/>
  <c r="M50" i="3" s="1"/>
  <c r="K30" i="3"/>
  <c r="L30" i="3" s="1"/>
  <c r="M30" i="3" s="1"/>
  <c r="K97" i="3"/>
  <c r="L97" i="3" s="1"/>
  <c r="M97" i="3" s="1"/>
  <c r="P97" i="3" s="1"/>
  <c r="Q97" i="3" s="1"/>
  <c r="K104" i="3"/>
  <c r="L104" i="3" s="1"/>
  <c r="M104" i="3" s="1"/>
  <c r="K98" i="3"/>
  <c r="L98" i="3" s="1"/>
  <c r="M98" i="3" s="1"/>
  <c r="P98" i="3" s="1"/>
  <c r="Q98" i="3" s="1"/>
  <c r="K99" i="3"/>
  <c r="L99" i="3" s="1"/>
  <c r="M99" i="3" s="1"/>
  <c r="K79" i="3"/>
  <c r="L79" i="3" s="1"/>
  <c r="M79" i="3" s="1"/>
  <c r="K59" i="3"/>
  <c r="L59" i="3" s="1"/>
  <c r="M59" i="3" s="1"/>
  <c r="K39" i="3"/>
  <c r="L39" i="3" s="1"/>
  <c r="M39" i="3" s="1"/>
  <c r="K19" i="3"/>
  <c r="L19" i="3" s="1"/>
  <c r="M19" i="3" s="1"/>
  <c r="K86" i="3"/>
  <c r="L86" i="3" s="1"/>
  <c r="M86" i="3" s="1"/>
  <c r="K22" i="3"/>
  <c r="L22" i="3" s="1"/>
  <c r="M22" i="3" s="1"/>
  <c r="K29" i="3"/>
  <c r="L29" i="3" s="1"/>
  <c r="M29" i="3" s="1"/>
  <c r="K47" i="3"/>
  <c r="L47" i="3" s="1"/>
  <c r="M47" i="3" s="1"/>
  <c r="F104" i="3"/>
  <c r="I42" i="4" s="1"/>
  <c r="F103" i="3"/>
  <c r="G103" i="3" s="1"/>
  <c r="H103" i="3" s="1"/>
  <c r="F102" i="3"/>
  <c r="G102" i="3" s="1"/>
  <c r="H102" i="3" s="1"/>
  <c r="F101" i="3"/>
  <c r="G101" i="3" s="1"/>
  <c r="H101" i="3" s="1"/>
  <c r="M103" i="3"/>
  <c r="P103" i="3" s="1"/>
  <c r="Q103" i="3" s="1"/>
  <c r="F100" i="3"/>
  <c r="I41" i="4" s="1"/>
  <c r="F99" i="3"/>
  <c r="G99" i="3" s="1"/>
  <c r="H99" i="3" s="1"/>
  <c r="O31" i="3" l="1"/>
  <c r="N31" i="3"/>
  <c r="P80" i="3"/>
  <c r="Q80" i="3" s="1"/>
  <c r="G9" i="3"/>
  <c r="H9" i="3" s="1"/>
  <c r="H9" i="4" s="1"/>
  <c r="N9" i="4" s="1"/>
  <c r="P76" i="3"/>
  <c r="Q76" i="3" s="1"/>
  <c r="N80" i="3"/>
  <c r="H7" i="4"/>
  <c r="N7" i="4" s="1"/>
  <c r="H43" i="4"/>
  <c r="P65" i="3"/>
  <c r="Q65" i="3" s="1"/>
  <c r="N65" i="3"/>
  <c r="L32" i="4" s="1"/>
  <c r="O76" i="3"/>
  <c r="P91" i="3"/>
  <c r="Q91" i="3" s="1"/>
  <c r="O91" i="3"/>
  <c r="N91" i="3"/>
  <c r="O7" i="3"/>
  <c r="P7" i="3"/>
  <c r="Q7" i="3" s="1"/>
  <c r="N7" i="3"/>
  <c r="K16" i="4"/>
  <c r="N20" i="3"/>
  <c r="L16" i="4" s="1"/>
  <c r="P20" i="3"/>
  <c r="Q20" i="3" s="1"/>
  <c r="O20" i="3"/>
  <c r="M16" i="4" s="1"/>
  <c r="N71" i="3"/>
  <c r="L34" i="4" s="1"/>
  <c r="K34" i="4"/>
  <c r="O51" i="3"/>
  <c r="G59" i="3"/>
  <c r="H59" i="3" s="1"/>
  <c r="H30" i="4" s="1"/>
  <c r="N30" i="4" s="1"/>
  <c r="P36" i="3"/>
  <c r="Q36" i="3" s="1"/>
  <c r="P16" i="3"/>
  <c r="Q16" i="3" s="1"/>
  <c r="O36" i="3"/>
  <c r="M23" i="4" s="1"/>
  <c r="N16" i="3"/>
  <c r="O56" i="3"/>
  <c r="P56" i="3"/>
  <c r="Q56" i="3" s="1"/>
  <c r="O45" i="3"/>
  <c r="M26" i="4" s="1"/>
  <c r="P11" i="3"/>
  <c r="Q11" i="3" s="1"/>
  <c r="G17" i="3"/>
  <c r="H17" i="3" s="1"/>
  <c r="H14" i="4" s="1"/>
  <c r="N14" i="4" s="1"/>
  <c r="O11" i="3"/>
  <c r="M10" i="4" s="1"/>
  <c r="N36" i="3"/>
  <c r="L23" i="4" s="1"/>
  <c r="P45" i="3"/>
  <c r="Q45" i="3" s="1"/>
  <c r="O55" i="3"/>
  <c r="K10" i="4"/>
  <c r="N55" i="3"/>
  <c r="G30" i="3"/>
  <c r="H30" i="3" s="1"/>
  <c r="H21" i="4" s="1"/>
  <c r="N21" i="4" s="1"/>
  <c r="K26" i="4"/>
  <c r="N40" i="3"/>
  <c r="G18" i="3"/>
  <c r="H18" i="3" s="1"/>
  <c r="H15" i="4" s="1"/>
  <c r="N15" i="4" s="1"/>
  <c r="N56" i="3"/>
  <c r="N15" i="3"/>
  <c r="L13" i="4" s="1"/>
  <c r="K13" i="4"/>
  <c r="O15" i="3"/>
  <c r="M13" i="4" s="1"/>
  <c r="P15" i="3"/>
  <c r="Q15" i="3" s="1"/>
  <c r="O57" i="3"/>
  <c r="N57" i="3"/>
  <c r="P57" i="3"/>
  <c r="Q57" i="3" s="1"/>
  <c r="P93" i="3"/>
  <c r="Q93" i="3" s="1"/>
  <c r="O93" i="3"/>
  <c r="N93" i="3"/>
  <c r="N88" i="3"/>
  <c r="L38" i="4" s="1"/>
  <c r="K38" i="4"/>
  <c r="O88" i="3"/>
  <c r="M38" i="4" s="1"/>
  <c r="P88" i="3"/>
  <c r="Q88" i="3" s="1"/>
  <c r="O95" i="3"/>
  <c r="N95" i="3"/>
  <c r="P95" i="3"/>
  <c r="Q95" i="3" s="1"/>
  <c r="O70" i="3"/>
  <c r="N70" i="3"/>
  <c r="P70" i="3"/>
  <c r="Q70" i="3" s="1"/>
  <c r="N53" i="3"/>
  <c r="P53" i="3"/>
  <c r="Q53" i="3" s="1"/>
  <c r="O53" i="3"/>
  <c r="O29" i="3"/>
  <c r="N29" i="3"/>
  <c r="P29" i="3"/>
  <c r="Q29" i="3" s="1"/>
  <c r="K22" i="4"/>
  <c r="P33" i="3"/>
  <c r="Q33" i="3" s="1"/>
  <c r="N33" i="3"/>
  <c r="L22" i="4" s="1"/>
  <c r="O33" i="3"/>
  <c r="M22" i="4" s="1"/>
  <c r="O86" i="3"/>
  <c r="N86" i="3"/>
  <c r="P86" i="3"/>
  <c r="Q86" i="3" s="1"/>
  <c r="O102" i="3"/>
  <c r="N102" i="3"/>
  <c r="P102" i="3"/>
  <c r="Q102" i="3" s="1"/>
  <c r="K30" i="4"/>
  <c r="N59" i="3"/>
  <c r="L30" i="4" s="1"/>
  <c r="O59" i="3"/>
  <c r="M30" i="4" s="1"/>
  <c r="P59" i="3"/>
  <c r="Q59" i="3" s="1"/>
  <c r="N21" i="3"/>
  <c r="O21" i="3"/>
  <c r="P21" i="3"/>
  <c r="Q21" i="3" s="1"/>
  <c r="K29" i="4"/>
  <c r="O54" i="3"/>
  <c r="M29" i="4" s="1"/>
  <c r="N54" i="3"/>
  <c r="L29" i="4" s="1"/>
  <c r="P54" i="3"/>
  <c r="K20" i="4"/>
  <c r="N28" i="3"/>
  <c r="L20" i="4" s="1"/>
  <c r="O28" i="3"/>
  <c r="M20" i="4" s="1"/>
  <c r="P28" i="3"/>
  <c r="Q28" i="3" s="1"/>
  <c r="K42" i="4"/>
  <c r="O104" i="3"/>
  <c r="M42" i="4" s="1"/>
  <c r="N104" i="3"/>
  <c r="L42" i="4" s="1"/>
  <c r="P104" i="3"/>
  <c r="Q104" i="3" s="1"/>
  <c r="O41" i="3"/>
  <c r="N41" i="3"/>
  <c r="P41" i="3"/>
  <c r="Q41" i="3" s="1"/>
  <c r="N49" i="3"/>
  <c r="O49" i="3"/>
  <c r="P49" i="3"/>
  <c r="Q49" i="3" s="1"/>
  <c r="O46" i="3"/>
  <c r="N46" i="3"/>
  <c r="P46" i="3"/>
  <c r="Q46" i="3" s="1"/>
  <c r="N101" i="3"/>
  <c r="O101" i="3"/>
  <c r="P101" i="3"/>
  <c r="Q101" i="3" s="1"/>
  <c r="N99" i="3"/>
  <c r="O99" i="3"/>
  <c r="P99" i="3"/>
  <c r="Q99" i="3" s="1"/>
  <c r="N24" i="3"/>
  <c r="L18" i="4" s="1"/>
  <c r="K18" i="4"/>
  <c r="O24" i="3"/>
  <c r="M18" i="4" s="1"/>
  <c r="P24" i="3"/>
  <c r="Q24" i="3" s="1"/>
  <c r="O19" i="3"/>
  <c r="P19" i="3"/>
  <c r="Q19" i="3" s="1"/>
  <c r="N19" i="3"/>
  <c r="K12" i="4"/>
  <c r="O14" i="3"/>
  <c r="M12" i="4" s="1"/>
  <c r="N14" i="3"/>
  <c r="L12" i="4" s="1"/>
  <c r="K21" i="4"/>
  <c r="N30" i="3"/>
  <c r="L21" i="4" s="1"/>
  <c r="O30" i="3"/>
  <c r="M21" i="4" s="1"/>
  <c r="O34" i="3"/>
  <c r="N34" i="3"/>
  <c r="N66" i="3"/>
  <c r="P66" i="3"/>
  <c r="Q66" i="3" s="1"/>
  <c r="O66" i="3"/>
  <c r="N97" i="3"/>
  <c r="O97" i="3"/>
  <c r="N35" i="3"/>
  <c r="P35" i="3"/>
  <c r="Q35" i="3" s="1"/>
  <c r="O35" i="3"/>
  <c r="O94" i="3"/>
  <c r="N94" i="3"/>
  <c r="P34" i="3"/>
  <c r="Q34" i="3" s="1"/>
  <c r="G6" i="3"/>
  <c r="H6" i="3" s="1"/>
  <c r="H6" i="4" s="1"/>
  <c r="N6" i="4" s="1"/>
  <c r="O103" i="3"/>
  <c r="N103" i="3"/>
  <c r="K24" i="4"/>
  <c r="O39" i="3"/>
  <c r="M24" i="4" s="1"/>
  <c r="N39" i="3"/>
  <c r="L24" i="4" s="1"/>
  <c r="O85" i="3"/>
  <c r="N85" i="3"/>
  <c r="P39" i="3"/>
  <c r="Q39" i="3" s="1"/>
  <c r="O89" i="3"/>
  <c r="N89" i="3"/>
  <c r="N64" i="3"/>
  <c r="O64" i="3"/>
  <c r="P64" i="3"/>
  <c r="Q64" i="3" s="1"/>
  <c r="K6" i="4"/>
  <c r="O6" i="3"/>
  <c r="M6" i="4" s="1"/>
  <c r="N6" i="3"/>
  <c r="L6" i="4" s="1"/>
  <c r="G75" i="3"/>
  <c r="H75" i="3" s="1"/>
  <c r="H35" i="4" s="1"/>
  <c r="N35" i="4" s="1"/>
  <c r="K28" i="4"/>
  <c r="P50" i="3"/>
  <c r="Q50" i="3" s="1"/>
  <c r="O50" i="3"/>
  <c r="M28" i="4" s="1"/>
  <c r="N50" i="3"/>
  <c r="L28" i="4" s="1"/>
  <c r="O43" i="3"/>
  <c r="N43" i="3"/>
  <c r="P43" i="3"/>
  <c r="Q43" i="3" s="1"/>
  <c r="N69" i="3"/>
  <c r="O69" i="3"/>
  <c r="O61" i="3"/>
  <c r="P61" i="3"/>
  <c r="Q61" i="3" s="1"/>
  <c r="N61" i="3"/>
  <c r="N10" i="3"/>
  <c r="P10" i="3"/>
  <c r="Q10" i="3" s="1"/>
  <c r="O10" i="3"/>
  <c r="G26" i="3"/>
  <c r="H26" i="3" s="1"/>
  <c r="H19" i="4" s="1"/>
  <c r="N19" i="4" s="1"/>
  <c r="K9" i="4"/>
  <c r="O9" i="3"/>
  <c r="M9" i="4" s="1"/>
  <c r="N9" i="3"/>
  <c r="L9" i="4" s="1"/>
  <c r="O58" i="3"/>
  <c r="N58" i="3"/>
  <c r="N23" i="3"/>
  <c r="P23" i="3"/>
  <c r="Q23" i="3" s="1"/>
  <c r="O23" i="3"/>
  <c r="K8" i="4"/>
  <c r="N8" i="3"/>
  <c r="L8" i="4" s="1"/>
  <c r="P8" i="3"/>
  <c r="Q8" i="3" s="1"/>
  <c r="O8" i="3"/>
  <c r="M8" i="4" s="1"/>
  <c r="P9" i="3"/>
  <c r="Q9" i="3" s="1"/>
  <c r="O32" i="3"/>
  <c r="N32" i="3"/>
  <c r="N84" i="3"/>
  <c r="L37" i="4" s="1"/>
  <c r="K37" i="4"/>
  <c r="P84" i="3"/>
  <c r="Q84" i="3" s="1"/>
  <c r="O84" i="3"/>
  <c r="M37" i="4" s="1"/>
  <c r="P58" i="3"/>
  <c r="Q58" i="3" s="1"/>
  <c r="P89" i="3"/>
  <c r="Q89" i="3" s="1"/>
  <c r="K31" i="4"/>
  <c r="O62" i="3"/>
  <c r="M31" i="4" s="1"/>
  <c r="N62" i="3"/>
  <c r="L31" i="4" s="1"/>
  <c r="P30" i="3"/>
  <c r="Q30" i="3" s="1"/>
  <c r="O75" i="3"/>
  <c r="M35" i="4" s="1"/>
  <c r="N75" i="3"/>
  <c r="L35" i="4" s="1"/>
  <c r="K35" i="4"/>
  <c r="G15" i="3"/>
  <c r="H15" i="3" s="1"/>
  <c r="H13" i="4" s="1"/>
  <c r="N13" i="4" s="1"/>
  <c r="O67" i="3"/>
  <c r="P67" i="3"/>
  <c r="Q67" i="3" s="1"/>
  <c r="N67" i="3"/>
  <c r="O87" i="3"/>
  <c r="N87" i="3"/>
  <c r="P87" i="3"/>
  <c r="Q87" i="3" s="1"/>
  <c r="K27" i="4"/>
  <c r="O47" i="3"/>
  <c r="M27" i="4" s="1"/>
  <c r="P47" i="3"/>
  <c r="Q47" i="3" s="1"/>
  <c r="N47" i="3"/>
  <c r="L27" i="4" s="1"/>
  <c r="K11" i="4"/>
  <c r="N12" i="3"/>
  <c r="L11" i="4" s="1"/>
  <c r="O12" i="3"/>
  <c r="M11" i="4" s="1"/>
  <c r="G20" i="3"/>
  <c r="H20" i="3" s="1"/>
  <c r="H16" i="4" s="1"/>
  <c r="N16" i="4" s="1"/>
  <c r="P13" i="3"/>
  <c r="Q13" i="3" s="1"/>
  <c r="O13" i="3"/>
  <c r="N13" i="3"/>
  <c r="K41" i="4"/>
  <c r="N100" i="3"/>
  <c r="L41" i="4" s="1"/>
  <c r="P100" i="3"/>
  <c r="Q100" i="3" s="1"/>
  <c r="O100" i="3"/>
  <c r="M41" i="4" s="1"/>
  <c r="O73" i="3"/>
  <c r="N73" i="3"/>
  <c r="O77" i="3"/>
  <c r="N77" i="3"/>
  <c r="N83" i="3"/>
  <c r="O83" i="3"/>
  <c r="P83" i="3"/>
  <c r="Q83" i="3" s="1"/>
  <c r="G100" i="3"/>
  <c r="H100" i="3" s="1"/>
  <c r="H41" i="4" s="1"/>
  <c r="N41" i="4" s="1"/>
  <c r="G79" i="3"/>
  <c r="H79" i="3" s="1"/>
  <c r="H36" i="4" s="1"/>
  <c r="N36" i="4" s="1"/>
  <c r="P12" i="3"/>
  <c r="Q12" i="3" s="1"/>
  <c r="O90" i="3"/>
  <c r="N90" i="3"/>
  <c r="O74" i="3"/>
  <c r="N74" i="3"/>
  <c r="K36" i="4"/>
  <c r="N79" i="3"/>
  <c r="L36" i="4" s="1"/>
  <c r="P79" i="3"/>
  <c r="Q79" i="3" s="1"/>
  <c r="O79" i="3"/>
  <c r="M36" i="4" s="1"/>
  <c r="O98" i="3"/>
  <c r="N98" i="3"/>
  <c r="P48" i="3"/>
  <c r="Q48" i="3" s="1"/>
  <c r="O48" i="3"/>
  <c r="N48" i="3"/>
  <c r="O37" i="3"/>
  <c r="P37" i="3"/>
  <c r="Q37" i="3" s="1"/>
  <c r="N37" i="3"/>
  <c r="K14" i="4"/>
  <c r="O17" i="3"/>
  <c r="M14" i="4" s="1"/>
  <c r="P17" i="3"/>
  <c r="Q17" i="3" s="1"/>
  <c r="N17" i="3"/>
  <c r="L14" i="4" s="1"/>
  <c r="O82" i="3"/>
  <c r="N82" i="3"/>
  <c r="N68" i="3"/>
  <c r="L33" i="4" s="1"/>
  <c r="K33" i="4"/>
  <c r="O68" i="3"/>
  <c r="M33" i="4" s="1"/>
  <c r="P68" i="3"/>
  <c r="Q68" i="3" s="1"/>
  <c r="P63" i="3"/>
  <c r="Q63" i="3" s="1"/>
  <c r="N63" i="3"/>
  <c r="O63" i="3"/>
  <c r="P94" i="3"/>
  <c r="Q94" i="3" s="1"/>
  <c r="O81" i="3"/>
  <c r="N81" i="3"/>
  <c r="O72" i="3"/>
  <c r="N72" i="3"/>
  <c r="K25" i="4"/>
  <c r="O42" i="3"/>
  <c r="M25" i="4" s="1"/>
  <c r="N42" i="3"/>
  <c r="L25" i="4" s="1"/>
  <c r="P42" i="3"/>
  <c r="Q42" i="3" s="1"/>
  <c r="P90" i="3"/>
  <c r="Q90" i="3" s="1"/>
  <c r="Q5" i="3"/>
  <c r="R6" i="3" s="1"/>
  <c r="R7" i="3" s="1"/>
  <c r="C41" i="2"/>
  <c r="O38" i="3"/>
  <c r="N38" i="3"/>
  <c r="N44" i="3"/>
  <c r="O44" i="3"/>
  <c r="O22" i="3"/>
  <c r="M17" i="4" s="1"/>
  <c r="K17" i="4"/>
  <c r="N22" i="3"/>
  <c r="L17" i="4" s="1"/>
  <c r="P22" i="3"/>
  <c r="Q22" i="3" s="1"/>
  <c r="P96" i="3"/>
  <c r="Q96" i="3" s="1"/>
  <c r="N96" i="3"/>
  <c r="L40" i="4" s="1"/>
  <c r="K40" i="4"/>
  <c r="O96" i="3"/>
  <c r="M40" i="4" s="1"/>
  <c r="K19" i="4"/>
  <c r="O26" i="3"/>
  <c r="M19" i="4" s="1"/>
  <c r="N26" i="3"/>
  <c r="L19" i="4" s="1"/>
  <c r="P26" i="3"/>
  <c r="Q26" i="3" s="1"/>
  <c r="O52" i="3"/>
  <c r="N52" i="3"/>
  <c r="O18" i="3"/>
  <c r="M15" i="4" s="1"/>
  <c r="K15" i="4"/>
  <c r="N18" i="3"/>
  <c r="L15" i="4" s="1"/>
  <c r="L7" i="4" l="1"/>
  <c r="L43" i="4"/>
  <c r="M7" i="4"/>
  <c r="M43" i="4"/>
  <c r="R8" i="3"/>
  <c r="R9" i="3"/>
  <c r="R10" i="3" s="1"/>
  <c r="R11" i="3" s="1"/>
  <c r="R12" i="3" s="1"/>
  <c r="R13" i="3" s="1"/>
  <c r="Q54" i="3"/>
  <c r="C42" i="2"/>
  <c r="R14" i="3"/>
  <c r="R15" i="3" l="1"/>
  <c r="R16" i="3" s="1"/>
  <c r="R17" i="3" s="1"/>
  <c r="R18" i="3" s="1"/>
  <c r="R19" i="3" s="1"/>
  <c r="R20" i="3" s="1"/>
  <c r="R21" i="3" s="1"/>
  <c r="R22" i="3" s="1"/>
  <c r="R23" i="3" s="1"/>
  <c r="R24" i="3" s="1"/>
  <c r="C35" i="2"/>
  <c r="R25" i="3" l="1"/>
  <c r="R26" i="3" s="1"/>
  <c r="R27" i="3" s="1"/>
  <c r="R28" i="3" s="1"/>
  <c r="R29" i="3" s="1"/>
  <c r="R30" i="3" s="1"/>
  <c r="R31" i="3" s="1"/>
  <c r="R32" i="3" s="1"/>
  <c r="R33" i="3" s="1"/>
  <c r="R34" i="3" s="1"/>
  <c r="C36" i="2"/>
  <c r="C37" i="2" l="1"/>
  <c r="R35" i="3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C38" i="2" l="1"/>
  <c r="R55" i="3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C39" i="2" s="1"/>
  <c r="C4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300-000001000000}">
      <text>
        <r>
          <rPr>
            <sz val="10"/>
            <rFont val="FreeSans"/>
            <family val="2"/>
          </rPr>
          <t xml:space="preserve">ค่าพลังดึงจากชีต </t>
        </r>
        <r>
          <rPr>
            <sz val="10"/>
            <rFont val="Arial"/>
            <family val="2"/>
          </rPr>
          <t>'</t>
        </r>
        <r>
          <rPr>
            <sz val="10"/>
            <rFont val="FreeSans"/>
            <family val="2"/>
          </rPr>
          <t>เลเวล</t>
        </r>
        <r>
          <rPr>
            <sz val="10"/>
            <rFont val="Arial"/>
            <family val="2"/>
          </rPr>
          <t xml:space="preserve">' </t>
        </r>
        <r>
          <rPr>
            <sz val="10"/>
            <rFont val="FreeSans"/>
            <family val="2"/>
          </rPr>
          <t xml:space="preserve">ตามเลเวลของมอน แล้วคูณด้วยตัวคูณ </t>
        </r>
        <r>
          <rPr>
            <sz val="10"/>
            <rFont val="Arial"/>
            <family val="2"/>
          </rPr>
          <t>(</t>
        </r>
        <r>
          <rPr>
            <sz val="10"/>
            <rFont val="FreeSans"/>
            <family val="2"/>
          </rPr>
          <t>และตัวคูณบอสถ้าเป็นบอส</t>
        </r>
        <r>
          <rPr>
            <sz val="10"/>
            <rFont val="Arial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<sst xmlns="http://schemas.openxmlformats.org/spreadsheetml/2006/main" count="328" uniqueCount="203">
  <si>
    <t>Siam Legends Online — ตารางสมดุลเกม (มอน / เลเวล / EXP)</t>
  </si>
  <si>
    <t>วิธีใช้</t>
  </si>
  <si>
    <t>1. แก้เฉพาะช่องตัวอักษรสีน้ำเงินในชีต 'ตั้งค่า' และในชีต 'มอน' (เลเวล ประเภท นิสัย ตัวคูณ) ช่องพื้นเหลืองคือค่าสำคัญ</t>
  </si>
  <si>
    <t>2. ตัวเลขสีดำทั้งหมดเป็นสูตร จะคำนวณใหม่เองเมื่อแก้ค่าในชีต 'ตั้งค่า' ห้ามพิมพ์ทับ</t>
  </si>
  <si>
    <t>3. ดูผลลัพธ์ที่ท้ายชีต 'ตั้งค่า' (เวลาเล่นถึงเลเวล 10 / 20 / 30 / 50 / สูงสุด) แล้วปรับจนพอใจ</t>
  </si>
  <si>
    <t>4. เพิ่มมอนใหม่: คัดลอกแถวในชีต 'มอน' แล้วแก้ชื่อ แมพ เลเวล — ค่าพลังจะคำนวณให้เอง</t>
  </si>
  <si>
    <t>หลักการคำนวณ</t>
  </si>
  <si>
    <t>• มอนเลเวล L ถูกออกแบบให้ผู้เล่นเลเวล L (ยังไม่รวมสกิล) ตีจำนวน 'ตีกี่ทีตาย' ครั้ง</t>
  </si>
  <si>
    <t>• เวลาเป้าหมายต่อเลเวล = a × เลเวล^k + เวลาขั้นต่ำ โดย a ถูกคำนวณให้เวลารวมถึงเลเวลสูงสุดเท่ากับ 'ชั่วโมงเล่นถึงเลเวลสูงสุด'</t>
  </si>
  <si>
    <t>• EXP มอน = EXP ที่ต้องใช้ ÷ จำนวนตัวที่ควรฆ่าในเวลาเป้าหมาย</t>
  </si>
  <si>
    <t>• 'เวลาจริง' ใช้ EXP มอนที่ปัดเศษแล้ว จึงอาจต่างจากเป้าหมายเล็กน้อย</t>
  </si>
  <si>
    <t>• เวลาต่อการฆ่า = ตีกี่ทีตาย × ความเร็วโจมตี + เวลาเดินหาเป้าหมาย (ประเมินแบบเล่นคนเดียว ตีมอนเลเวลเท่ากัน)</t>
  </si>
  <si>
    <t>ข้อจำกัด</t>
  </si>
  <si>
    <t>• ตารางมีเลเวล 1–100 ถ้าตั้งเลเวลสูงสุดเกิน 100 ต้องต่อแถวในชีต 'เลเวล' และแก้ช่วงในสูตร</t>
  </si>
  <si>
    <t>• ยังไม่รวมสกิล อาวุธพิเศษ ปาร์ตี้ หรือโบนัส EXP ช่วงปลายเกมจึงต้องฆ่าหลายพันตัวต่อเลเวล — ของเหล่านี้จะช่วยลดเวลาจริงลง</t>
  </si>
  <si>
    <t>• ชื่อมอนและแมพเป็นร่างแรก แก้ได้ตามใจ</t>
  </si>
  <si>
    <t>ตั้งค่าเป้าหมายและตัวเลขพื้นฐาน</t>
  </si>
  <si>
    <t>แก้เฉพาะช่องสีน้ำเงิน · พื้นเหลือง = ค่าสำคัญที่ควรลองปรับก่อน</t>
  </si>
  <si>
    <t>ค่า</t>
  </si>
  <si>
    <t>ตัวเลข</t>
  </si>
  <si>
    <t>หน่วย</t>
  </si>
  <si>
    <t>คำอธิบาย</t>
  </si>
  <si>
    <t>เป้าหมายเวลาเล่น</t>
  </si>
  <si>
    <t>เลเวลสูงสุด</t>
  </si>
  <si>
    <t>เลเวล</t>
  </si>
  <si>
    <t>ตารางรองรับถึง 100</t>
  </si>
  <si>
    <t>ชั่วโมงเล่นถึงเลเวลสูงสุด</t>
  </si>
  <si>
    <t>ชั่วโมง</t>
  </si>
  <si>
    <t>เล่นคนเดียว ไม่รวมสกิล/ปาร์ตี้/โบนัส</t>
  </si>
  <si>
    <t>ความชันเส้นเวลา (k)</t>
  </si>
  <si>
    <t>ยิ่งมาก = ช่วงต้นเร็ว ช่วงปลายช้า</t>
  </si>
  <si>
    <t>เวลาขั้นต่ำต่อเลเวล</t>
  </si>
  <si>
    <t>นาที</t>
  </si>
  <si>
    <t>ทำให้เลเวลแรก ๆ ไม่เร็วเกินไป</t>
  </si>
  <si>
    <t>ค่า a (ตัวช่วยคำนวณ)</t>
  </si>
  <si>
    <t>ห้ามแก้ — ปรับให้เวลารวมตรงเป้า</t>
  </si>
  <si>
    <t>ผู้เล่น (ค่าพื้นฐาน ยังไม่รวมสกิล)</t>
  </si>
  <si>
    <t>พลังโจมตีตั้งต้น</t>
  </si>
  <si>
    <t>ตรงกับเกมตอนนี้: 10 + 2 × เลเวล</t>
  </si>
  <si>
    <t>พลังโจมตีเพิ่มต่อเลเวล</t>
  </si>
  <si>
    <t>อุปกรณ์เพิ่มพลังโจมตีต่อเลเวล</t>
  </si>
  <si>
    <t>สะท้อนว่าผู้เล่นได้อาวุธดีขึ้นเรื่อย ๆ</t>
  </si>
  <si>
    <t>HP ตั้งต้น</t>
  </si>
  <si>
    <t>ตรงกับเกมตอนนี้: 90 + 10 × เลเวล</t>
  </si>
  <si>
    <t>HP เพิ่มต่อเลเวล</t>
  </si>
  <si>
    <t>อุปกรณ์เพิ่ม HP ต่อเลเวล</t>
  </si>
  <si>
    <t>ความเร็วโจมตี</t>
  </si>
  <si>
    <t>วินาที/ที</t>
  </si>
  <si>
    <t>ตรงกับ PLAYER_ASPD_MS ในเกม</t>
  </si>
  <si>
    <t>มอนปกติ (เทียบกับผู้เล่นเลเวลเท่ากัน)</t>
  </si>
  <si>
    <t>ตีกี่ทีตาย</t>
  </si>
  <si>
    <t>ที</t>
  </si>
  <si>
    <t>ความรู้สึกหลักของการตีมอน</t>
  </si>
  <si>
    <t>เวลาเดินหาเป้าหมายต่อตัว</t>
  </si>
  <si>
    <t>วินาที</t>
  </si>
  <si>
    <t>รวมเวลาเดินและรอมอนเกิด</t>
  </si>
  <si>
    <t>พลังป้องกันมอน</t>
  </si>
  <si>
    <t>ของพลังโจมตีผู้เล่น</t>
  </si>
  <si>
    <t>มอนตีกี่ทีผู้เล่นตาย</t>
  </si>
  <si>
    <t>ใช้เมื่อเปิดระบบมอนตีกลับ</t>
  </si>
  <si>
    <t>EXP ที่ต้องใช้: ค่าตั้งต้น</t>
  </si>
  <si>
    <t>EXP ขึ้นเลเวล = ค่าตั้งต้น × เลเวล^เลขชี้กำลัง</t>
  </si>
  <si>
    <t>EXP ที่ต้องใช้: เลขชี้กำลัง</t>
  </si>
  <si>
    <t>ยิ่งมาก EXP ต่อมอนช่วงปลายยิ่งสูง</t>
  </si>
  <si>
    <t>เบี้ยต่อ EXP</t>
  </si>
  <si>
    <t>เบี้ย</t>
  </si>
  <si>
    <t>เงินในเกม (ตั้งชื่อชั่วคราวว่า เบี้ย)</t>
  </si>
  <si>
    <t>เบี้ยสุ่ม ±</t>
  </si>
  <si>
    <t>บอส (ตัวคูณจากมอนปกติเลเวลเดียวกัน)</t>
  </si>
  <si>
    <t>ตัวคูณ HP</t>
  </si>
  <si>
    <t>เท่า</t>
  </si>
  <si>
    <t>ตั้งใจให้ต้องใช้ปาร์ตี้หรือยา</t>
  </si>
  <si>
    <t>ตัวคูณ EXP</t>
  </si>
  <si>
    <t>ตัวคูณพลังโจมตี</t>
  </si>
  <si>
    <t>ตัวคูณพลังป้องกัน</t>
  </si>
  <si>
    <t>ตัวคูณเบี้ย</t>
  </si>
  <si>
    <t>ผลลัพธ์ (คำนวณอัตโนมัติ)</t>
  </si>
  <si>
    <t>เวลาถึงเลเวล 10</t>
  </si>
  <si>
    <t>เวลาถึงเลเวล 20</t>
  </si>
  <si>
    <t>เวลาถึงเลเวล 30</t>
  </si>
  <si>
    <t>เวลาถึงเลเวล 50</t>
  </si>
  <si>
    <t>เวลาถึงเลเวลสูงสุด</t>
  </si>
  <si>
    <t>ถ้าเล่นวันละ 2 ชั่วโมง</t>
  </si>
  <si>
    <t>วัน</t>
  </si>
  <si>
    <t>ฆ่ามอนต่อเลเวล (เลเวล 1)</t>
  </si>
  <si>
    <t>ตัว</t>
  </si>
  <si>
    <t>ฆ่ามอนต่อเลเวล (เลเวล 50)</t>
  </si>
  <si>
    <t>ตารางเลเวล และค่าพลังมอนปกติแต่ละระดับ</t>
  </si>
  <si>
    <t>สูตรทั้งหมด — แก้ค่าที่ชีต 'ตั้งค่า' แทน · แถวที่เกินเลเวลสูงสุดไม่นับในเวลารวม</t>
  </si>
  <si>
    <t>EXP ขึ้นเลเวลถัดไป</t>
  </si>
  <si>
    <t>EXP สะสม</t>
  </si>
  <si>
    <t>พลังโจมตีผู้เล่น</t>
  </si>
  <si>
    <t>HP ผู้เล่น</t>
  </si>
  <si>
    <t>DEF มอน</t>
  </si>
  <si>
    <t>ดาเมจต่อที</t>
  </si>
  <si>
    <t>HP มอน</t>
  </si>
  <si>
    <t>ATK มอน</t>
  </si>
  <si>
    <t>วินาทีต่อการฆ่า</t>
  </si>
  <si>
    <t>เป้าหมาย (นาที)</t>
  </si>
  <si>
    <t>ฆ่าเป้าหมาย</t>
  </si>
  <si>
    <t>EXP มอน</t>
  </si>
  <si>
    <t>เบี้ยต่ำสุด</t>
  </si>
  <si>
    <t>เบี้ยสูงสุด</t>
  </si>
  <si>
    <t>ต้องฆ่าจริง</t>
  </si>
  <si>
    <t>เวลาจริง (นาที)</t>
  </si>
  <si>
    <t>ชั่วโมงสะสมถึงเลเวลนี้</t>
  </si>
  <si>
    <t>มอนสเตอร์ (ร่างแรก — ชื่อ แมพ เลเวล แก้ได้)</t>
  </si>
  <si>
    <t>สีน้ำเงิน = แก้ได้ · ตัวคูณ HP/EXP ใช้ทำมอนถึกหรือมอนเปราะในเลเวลเดียวกัน · ประเภทพิมพ์ 'ปกติ' หรือ 'บอส'</t>
  </si>
  <si>
    <t>ชื่อ</t>
  </si>
  <si>
    <t>แมพ</t>
  </si>
  <si>
    <t>ประเภท</t>
  </si>
  <si>
    <t>นิสัย</t>
  </si>
  <si>
    <t>HP</t>
  </si>
  <si>
    <t>DEF</t>
  </si>
  <si>
    <t>ATK</t>
  </si>
  <si>
    <t>EXP</t>
  </si>
  <si>
    <t>ลักษณะ</t>
  </si>
  <si>
    <t>ข้าวเหนียวปั้น</t>
  </si>
  <si>
    <t>ทุ่งนาริมคลอง</t>
  </si>
  <si>
    <t>ปกติ</t>
  </si>
  <si>
    <t>ไม่ตีก่อน</t>
  </si>
  <si>
    <t>ก้อนข้าวเหนียวมีตา กระโดดดึ๋ง ๆ มอนตัวแรกของเกม</t>
  </si>
  <si>
    <t>หิ่งห้อยนา</t>
  </si>
  <si>
    <t>บินหลบไปมา ตัวเปราะ</t>
  </si>
  <si>
    <t>ปูนา</t>
  </si>
  <si>
    <t>กระดองแข็ง ถึกกว่าปกติ</t>
  </si>
  <si>
    <t>หอยเชอรี่</t>
  </si>
  <si>
    <t>ช้าแต่ถึก</t>
  </si>
  <si>
    <t>กบเขียว</t>
  </si>
  <si>
    <t>กระโดดไกล</t>
  </si>
  <si>
    <t>ควายน้อยขี้หงุดหงิด</t>
  </si>
  <si>
    <t>ตีก่อน</t>
  </si>
  <si>
    <t>พุ่งชนเมื่อเข้าใกล้</t>
  </si>
  <si>
    <t>หุ่นไล่กาเดินได้</t>
  </si>
  <si>
    <t>ฟาดด้วยไม้ไผ่</t>
  </si>
  <si>
    <t>หุ่นไล่กายักษ์</t>
  </si>
  <si>
    <t>บอส</t>
  </si>
  <si>
    <t>บอสแรก เกิดทุก 30 นาที</t>
  </si>
  <si>
    <t>ลิงแสมซน</t>
  </si>
  <si>
    <t>ป่าไผ่ริมบึง</t>
  </si>
  <si>
    <t>ขโมยของแล้ววิ่งหนี</t>
  </si>
  <si>
    <t>ตะขาบไฟ</t>
  </si>
  <si>
    <t>พิษไฟ</t>
  </si>
  <si>
    <t>เห็ดโคนเดินได้</t>
  </si>
  <si>
    <t>ปล่อยสปอร์</t>
  </si>
  <si>
    <t>ผีพรายน้ำ</t>
  </si>
  <si>
    <t>โผล่จากน้ำ</t>
  </si>
  <si>
    <t>จระเข้บึง</t>
  </si>
  <si>
    <t>กัดแรง ถึก</t>
  </si>
  <si>
    <t>ชาละวัน</t>
  </si>
  <si>
    <t>พญาจระเข้ในตำนาน</t>
  </si>
  <si>
    <t>ทหารดินเผา</t>
  </si>
  <si>
    <t>เมืองโบราณร้าง</t>
  </si>
  <si>
    <t>ซากทหารโบราณ</t>
  </si>
  <si>
    <t>ค้างคาวแม่ไก่</t>
  </si>
  <si>
    <t>บินเร็ว</t>
  </si>
  <si>
    <t>ผีโขมด</t>
  </si>
  <si>
    <t>ดวงไฟผีลอยได้</t>
  </si>
  <si>
    <t>วิญญาณทหารเก่า</t>
  </si>
  <si>
    <t>ถือดาบสนิม</t>
  </si>
  <si>
    <t>ปีศาจหินเฝ้าซาก</t>
  </si>
  <si>
    <t>ช้ามาก ถึกมาก</t>
  </si>
  <si>
    <t>ขุนศึกไร้หัว</t>
  </si>
  <si>
    <t>บอสเมืองร้าง</t>
  </si>
  <si>
    <t>เสือสมิง</t>
  </si>
  <si>
    <t>ป่าหิมพานต์ชายขอบ</t>
  </si>
  <si>
    <t>เสือแปลงกาย</t>
  </si>
  <si>
    <t>ผีกระสือ</t>
  </si>
  <si>
    <t>ลอยได้ หลบเก่ง</t>
  </si>
  <si>
    <t>กระหัง</t>
  </si>
  <si>
    <t>บินด้วยกระด้ง</t>
  </si>
  <si>
    <t>ผีปอบ</t>
  </si>
  <si>
    <t>ดูดพลังชีวิต</t>
  </si>
  <si>
    <t>คชสีห์ป่า</t>
  </si>
  <si>
    <t>ถึก พุ่งชน</t>
  </si>
  <si>
    <t>ราชสีห์ทองคำ</t>
  </si>
  <si>
    <t>เจ้าป่าหิมพานต์ชายขอบ</t>
  </si>
  <si>
    <t>งูเหลือมยักษ์</t>
  </si>
  <si>
    <t>ถ้ำน้ำลอด</t>
  </si>
  <si>
    <t>รัดติดที่</t>
  </si>
  <si>
    <t>แมงป่องหิน</t>
  </si>
  <si>
    <t>พิษ</t>
  </si>
  <si>
    <t>ผีตายพราย</t>
  </si>
  <si>
    <t>สาปให้ช้าลง</t>
  </si>
  <si>
    <t>ปูถ้ำยักษ์</t>
  </si>
  <si>
    <t>กระดองหนามาก</t>
  </si>
  <si>
    <t>มกรดำ</t>
  </si>
  <si>
    <t>สัตว์น้ำในตำนาน</t>
  </si>
  <si>
    <t>มกรราชา</t>
  </si>
  <si>
    <t>บอสถ้ำ</t>
  </si>
  <si>
    <t>เหรา</t>
  </si>
  <si>
    <t>หิมพานต์ชั้นใน</t>
  </si>
  <si>
    <t>ครึ่งจระเข้ครึ่งงู</t>
  </si>
  <si>
    <t>ทักทอ</t>
  </si>
  <si>
    <t>สัตว์หิมพานต์</t>
  </si>
  <si>
    <t>อสุรปักษา</t>
  </si>
  <si>
    <t>นกอสูร บินโฉบ</t>
  </si>
  <si>
    <t>พญาเหยี่ยวเพลิง</t>
  </si>
  <si>
    <t>พ่นไฟ</t>
  </si>
  <si>
    <t>วิญญาณอสูรโบราณ</t>
  </si>
  <si>
    <t>จอมอสูรหิมพานต์</t>
  </si>
  <si>
    <t>บอสสุดท้าย</t>
  </si>
  <si>
    <t>ปูแดง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</si>
</sst>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0.0"/>
    <numFmt numFmtId="188" formatCode="0.0000"/>
    <numFmt numFmtId="189" formatCode="0.0%"/>
    <numFmt numFmtId="190" formatCode="#,##0.0"/>
  </numFmts>
  <fonts count="12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1"/>
      <color rgb="FF0000FF"/>
      <name val="Arial"/>
      <charset val="1"/>
    </font>
    <font>
      <sz val="11"/>
      <color theme="1"/>
      <name val="FreeSans"/>
      <family val="2"/>
    </font>
    <font>
      <b/>
      <sz val="11"/>
      <color rgb="FF000000"/>
      <name val="Arial"/>
      <charset val="1"/>
    </font>
    <font>
      <sz val="10"/>
      <name val="FreeSans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A1A05"/>
        <bgColor rgb="FF333333"/>
      </patternFill>
    </fill>
    <fill>
      <patternFill patternType="solid">
        <fgColor rgb="FFF3E2B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8F1E4"/>
        <bgColor rgb="FFFFFF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2" fillId="3" borderId="0" xfId="0" applyFont="1" applyFill="1"/>
    <xf numFmtId="0" fontId="0" fillId="3" borderId="0" xfId="0" applyFill="1"/>
    <xf numFmtId="0" fontId="3" fillId="0" borderId="1" xfId="0" applyFont="1" applyBorder="1"/>
    <xf numFmtId="0" fontId="6" fillId="4" borderId="1" xfId="0" applyFont="1" applyFill="1" applyBorder="1"/>
    <xf numFmtId="0" fontId="4" fillId="0" borderId="1" xfId="0" applyFont="1" applyBorder="1"/>
    <xf numFmtId="2" fontId="6" fillId="4" borderId="1" xfId="0" applyNumberFormat="1" applyFont="1" applyFill="1" applyBorder="1"/>
    <xf numFmtId="187" fontId="7" fillId="0" borderId="1" xfId="0" applyNumberFormat="1" applyFont="1" applyBorder="1"/>
    <xf numFmtId="188" fontId="3" fillId="0" borderId="1" xfId="0" applyNumberFormat="1" applyFont="1" applyBorder="1"/>
    <xf numFmtId="0" fontId="0" fillId="0" borderId="1" xfId="0" applyBorder="1"/>
    <xf numFmtId="0" fontId="7" fillId="0" borderId="1" xfId="0" applyFont="1" applyBorder="1"/>
    <xf numFmtId="189" fontId="7" fillId="0" borderId="1" xfId="0" applyNumberFormat="1" applyFont="1" applyBorder="1"/>
    <xf numFmtId="2" fontId="7" fillId="0" borderId="1" xfId="0" applyNumberFormat="1" applyFont="1" applyBorder="1"/>
    <xf numFmtId="9" fontId="7" fillId="0" borderId="1" xfId="0" applyNumberFormat="1" applyFont="1" applyBorder="1"/>
    <xf numFmtId="0" fontId="2" fillId="0" borderId="1" xfId="0" applyFont="1" applyBorder="1"/>
    <xf numFmtId="1" fontId="2" fillId="5" borderId="1" xfId="0" applyNumberFormat="1" applyFont="1" applyFill="1" applyBorder="1"/>
    <xf numFmtId="0" fontId="8" fillId="0" borderId="1" xfId="0" applyFont="1" applyBorder="1"/>
    <xf numFmtId="187" fontId="2" fillId="5" borderId="1" xfId="0" applyNumberFormat="1" applyFont="1" applyFill="1" applyBorder="1"/>
    <xf numFmtId="3" fontId="2" fillId="5" borderId="1" xfId="0" applyNumberFormat="1" applyFont="1" applyFill="1" applyBorder="1"/>
    <xf numFmtId="0" fontId="5" fillId="2" borderId="0" xfId="0" applyFont="1" applyFill="1" applyAlignment="1">
      <alignment horizontal="center" vertical="center" wrapText="1"/>
    </xf>
    <xf numFmtId="3" fontId="3" fillId="0" borderId="0" xfId="0" applyNumberFormat="1" applyFont="1"/>
    <xf numFmtId="190" fontId="3" fillId="0" borderId="0" xfId="0" applyNumberFormat="1" applyFont="1"/>
    <xf numFmtId="187" fontId="3" fillId="0" borderId="0" xfId="0" applyNumberFormat="1" applyFont="1"/>
    <xf numFmtId="0" fontId="7" fillId="0" borderId="0" xfId="0" applyFont="1"/>
    <xf numFmtId="2" fontId="7" fillId="0" borderId="0" xfId="0" applyNumberFormat="1" applyFont="1"/>
    <xf numFmtId="0" fontId="9" fillId="0" borderId="0" xfId="0" applyFont="1"/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E8F1E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2B3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A1A05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ชั่วโมงเล่นสะสมถึงแต่ละเลเวล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เลเวล!$R$4</c:f>
              <c:strCache>
                <c:ptCount val="1"/>
                <c:pt idx="0">
                  <c:v>ชั่วโมงสะสมถึงเลเวลนี้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เลเวล!$A$5:$A$104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เลเวล!$R$5:$R$104</c:f>
              <c:numCache>
                <c:formatCode>#,##0.0</c:formatCode>
                <c:ptCount val="100"/>
                <c:pt idx="0">
                  <c:v>0</c:v>
                </c:pt>
                <c:pt idx="1">
                  <c:v>9.4444444444444445E-3</c:v>
                </c:pt>
                <c:pt idx="2">
                  <c:v>2.4555555555555553E-2</c:v>
                </c:pt>
                <c:pt idx="3">
                  <c:v>4.533333333333333E-2</c:v>
                </c:pt>
                <c:pt idx="4">
                  <c:v>7.5555555555555542E-2</c:v>
                </c:pt>
                <c:pt idx="5">
                  <c:v>0.1171111111111111</c:v>
                </c:pt>
                <c:pt idx="6">
                  <c:v>0.17188888888888887</c:v>
                </c:pt>
                <c:pt idx="7">
                  <c:v>0.24177777777777776</c:v>
                </c:pt>
                <c:pt idx="8">
                  <c:v>0.33055555555555555</c:v>
                </c:pt>
                <c:pt idx="9">
                  <c:v>0.44011111111111112</c:v>
                </c:pt>
                <c:pt idx="10">
                  <c:v>0.57233333333333336</c:v>
                </c:pt>
                <c:pt idx="11">
                  <c:v>0.73099999999999998</c:v>
                </c:pt>
                <c:pt idx="12">
                  <c:v>0.9161111111111111</c:v>
                </c:pt>
                <c:pt idx="13">
                  <c:v>1.1333333333333333</c:v>
                </c:pt>
                <c:pt idx="14">
                  <c:v>1.3826666666666667</c:v>
                </c:pt>
                <c:pt idx="15">
                  <c:v>1.667888888888889</c:v>
                </c:pt>
                <c:pt idx="16">
                  <c:v>1.9908888888888889</c:v>
                </c:pt>
                <c:pt idx="17">
                  <c:v>2.3535555555555554</c:v>
                </c:pt>
                <c:pt idx="18">
                  <c:v>2.7577777777777777</c:v>
                </c:pt>
                <c:pt idx="19">
                  <c:v>3.2073333333333331</c:v>
                </c:pt>
                <c:pt idx="20">
                  <c:v>3.7041111111111107</c:v>
                </c:pt>
                <c:pt idx="21">
                  <c:v>4.25</c:v>
                </c:pt>
                <c:pt idx="22">
                  <c:v>4.8487777777777774</c:v>
                </c:pt>
                <c:pt idx="23">
                  <c:v>5.5023333333333326</c:v>
                </c:pt>
                <c:pt idx="24">
                  <c:v>6.2125555555555545</c:v>
                </c:pt>
                <c:pt idx="25">
                  <c:v>6.9832222222222216</c:v>
                </c:pt>
                <c:pt idx="26">
                  <c:v>7.8162222222222217</c:v>
                </c:pt>
                <c:pt idx="27">
                  <c:v>8.7115555555555559</c:v>
                </c:pt>
                <c:pt idx="28">
                  <c:v>9.6748888888888889</c:v>
                </c:pt>
                <c:pt idx="29">
                  <c:v>10.708111111111112</c:v>
                </c:pt>
                <c:pt idx="30">
                  <c:v>11.813111111111112</c:v>
                </c:pt>
                <c:pt idx="31">
                  <c:v>12.991777777777779</c:v>
                </c:pt>
                <c:pt idx="32">
                  <c:v>14.247888888888889</c:v>
                </c:pt>
                <c:pt idx="33">
                  <c:v>15.581444444444445</c:v>
                </c:pt>
                <c:pt idx="34">
                  <c:v>16.998111111111111</c:v>
                </c:pt>
                <c:pt idx="35">
                  <c:v>18.497888888888887</c:v>
                </c:pt>
                <c:pt idx="36">
                  <c:v>20.084555555555553</c:v>
                </c:pt>
                <c:pt idx="37">
                  <c:v>21.758111111111109</c:v>
                </c:pt>
                <c:pt idx="38">
                  <c:v>23.524222222222221</c:v>
                </c:pt>
                <c:pt idx="39">
                  <c:v>25.384777777777778</c:v>
                </c:pt>
                <c:pt idx="40">
                  <c:v>27.339777777777776</c:v>
                </c:pt>
                <c:pt idx="41">
                  <c:v>29.394888888888886</c:v>
                </c:pt>
                <c:pt idx="42">
                  <c:v>31.548222222222218</c:v>
                </c:pt>
                <c:pt idx="43">
                  <c:v>33.80544444444444</c:v>
                </c:pt>
                <c:pt idx="44">
                  <c:v>36.16844444444444</c:v>
                </c:pt>
                <c:pt idx="45">
                  <c:v>38.640999999999998</c:v>
                </c:pt>
                <c:pt idx="46">
                  <c:v>41.225000000000001</c:v>
                </c:pt>
                <c:pt idx="47">
                  <c:v>43.920444444444449</c:v>
                </c:pt>
                <c:pt idx="48">
                  <c:v>46.731111111111119</c:v>
                </c:pt>
                <c:pt idx="49">
                  <c:v>49.658888888888896</c:v>
                </c:pt>
                <c:pt idx="50">
                  <c:v>52.707555555555565</c:v>
                </c:pt>
                <c:pt idx="51">
                  <c:v>55.880888888888897</c:v>
                </c:pt>
                <c:pt idx="52">
                  <c:v>59.177000000000007</c:v>
                </c:pt>
                <c:pt idx="53">
                  <c:v>62.601555555555564</c:v>
                </c:pt>
                <c:pt idx="54">
                  <c:v>66.154555555555561</c:v>
                </c:pt>
                <c:pt idx="55">
                  <c:v>69.841666666666669</c:v>
                </c:pt>
                <c:pt idx="56">
                  <c:v>73.664777777777786</c:v>
                </c:pt>
                <c:pt idx="57">
                  <c:v>77.622000000000014</c:v>
                </c:pt>
                <c:pt idx="58">
                  <c:v>81.720888888888908</c:v>
                </c:pt>
                <c:pt idx="59">
                  <c:v>85.963333333333352</c:v>
                </c:pt>
                <c:pt idx="60">
                  <c:v>90.347444444444463</c:v>
                </c:pt>
                <c:pt idx="61">
                  <c:v>94.880777777777794</c:v>
                </c:pt>
                <c:pt idx="62">
                  <c:v>99.565222222222232</c:v>
                </c:pt>
                <c:pt idx="63">
                  <c:v>104.39888888888891</c:v>
                </c:pt>
                <c:pt idx="64">
                  <c:v>109.38744444444445</c:v>
                </c:pt>
                <c:pt idx="65">
                  <c:v>114.5308888888889</c:v>
                </c:pt>
                <c:pt idx="66">
                  <c:v>119.8348888888889</c:v>
                </c:pt>
                <c:pt idx="67">
                  <c:v>125.30133333333335</c:v>
                </c:pt>
                <c:pt idx="68">
                  <c:v>130.93022222222223</c:v>
                </c:pt>
                <c:pt idx="69">
                  <c:v>136.72722222222222</c:v>
                </c:pt>
                <c:pt idx="70">
                  <c:v>142.69422222222224</c:v>
                </c:pt>
                <c:pt idx="71">
                  <c:v>148.82933333333335</c:v>
                </c:pt>
                <c:pt idx="72">
                  <c:v>155.14011111111114</c:v>
                </c:pt>
                <c:pt idx="73">
                  <c:v>161.62844444444448</c:v>
                </c:pt>
                <c:pt idx="74">
                  <c:v>168.29244444444447</c:v>
                </c:pt>
                <c:pt idx="75">
                  <c:v>175.1396666666667</c:v>
                </c:pt>
                <c:pt idx="76">
                  <c:v>182.17200000000003</c:v>
                </c:pt>
                <c:pt idx="77">
                  <c:v>189.38755555555559</c:v>
                </c:pt>
                <c:pt idx="78">
                  <c:v>196.79200000000003</c:v>
                </c:pt>
                <c:pt idx="79">
                  <c:v>204.38533333333336</c:v>
                </c:pt>
                <c:pt idx="80">
                  <c:v>212.17322222222225</c:v>
                </c:pt>
                <c:pt idx="81">
                  <c:v>220.15755555555558</c:v>
                </c:pt>
                <c:pt idx="82">
                  <c:v>228.33833333333337</c:v>
                </c:pt>
                <c:pt idx="83">
                  <c:v>236.72122222222225</c:v>
                </c:pt>
                <c:pt idx="84">
                  <c:v>245.30811111111115</c:v>
                </c:pt>
                <c:pt idx="85">
                  <c:v>254.09711111111113</c:v>
                </c:pt>
                <c:pt idx="86">
                  <c:v>263.09577777777781</c:v>
                </c:pt>
                <c:pt idx="87">
                  <c:v>272.30600000000004</c:v>
                </c:pt>
                <c:pt idx="88">
                  <c:v>281.7258888888889</c:v>
                </c:pt>
                <c:pt idx="89">
                  <c:v>291.363</c:v>
                </c:pt>
                <c:pt idx="90">
                  <c:v>301.21922222222224</c:v>
                </c:pt>
                <c:pt idx="91">
                  <c:v>311.29077777777781</c:v>
                </c:pt>
                <c:pt idx="92">
                  <c:v>321.58711111111114</c:v>
                </c:pt>
                <c:pt idx="93">
                  <c:v>332.11011111111117</c:v>
                </c:pt>
                <c:pt idx="94">
                  <c:v>342.85600000000005</c:v>
                </c:pt>
                <c:pt idx="95">
                  <c:v>353.83422222222225</c:v>
                </c:pt>
                <c:pt idx="96">
                  <c:v>365.04666666666668</c:v>
                </c:pt>
                <c:pt idx="97">
                  <c:v>376.48955555555557</c:v>
                </c:pt>
                <c:pt idx="98">
                  <c:v>388.17044444444446</c:v>
                </c:pt>
                <c:pt idx="99">
                  <c:v>400.09311111111111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EC-4B76-8E6D-D56813B48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060714"/>
        <c:axId val="5183876"/>
      </c:lineChart>
      <c:catAx>
        <c:axId val="380607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เลเวล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5183876"/>
        <c:crosses val="autoZero"/>
        <c:auto val="1"/>
        <c:lblAlgn val="ctr"/>
        <c:lblOffset val="100"/>
        <c:noMultiLvlLbl val="0"/>
      </c:catAx>
      <c:valAx>
        <c:axId val="5183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ชั่วโมง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th-TH"/>
          </a:p>
        </c:txPr>
        <c:crossAx val="380607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3</xdr:row>
      <xdr:rowOff>398880</xdr:rowOff>
    </xdr:from>
    <xdr:to>
      <xdr:col>29</xdr:col>
      <xdr:colOff>364680</xdr:colOff>
      <xdr:row>20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zoomScaleNormal="100" workbookViewId="0"/>
  </sheetViews>
  <sheetFormatPr defaultColWidth="8.6640625" defaultRowHeight="14.4"/>
  <cols>
    <col min="1" max="1" width="120" customWidth="1"/>
  </cols>
  <sheetData>
    <row r="1" spans="1:1" ht="17.399999999999999">
      <c r="A1" s="1" t="s">
        <v>0</v>
      </c>
    </row>
    <row r="3" spans="1:1">
      <c r="A3" s="2" t="s">
        <v>1</v>
      </c>
    </row>
    <row r="4" spans="1:1">
      <c r="A4" s="3" t="s">
        <v>2</v>
      </c>
    </row>
    <row r="5" spans="1:1">
      <c r="A5" s="3" t="s">
        <v>3</v>
      </c>
    </row>
    <row r="6" spans="1:1">
      <c r="A6" s="3" t="s">
        <v>4</v>
      </c>
    </row>
    <row r="7" spans="1:1">
      <c r="A7" s="3" t="s">
        <v>5</v>
      </c>
    </row>
    <row r="9" spans="1:1">
      <c r="A9" s="2" t="s">
        <v>6</v>
      </c>
    </row>
    <row r="10" spans="1:1">
      <c r="A10" s="3" t="s">
        <v>7</v>
      </c>
    </row>
    <row r="11" spans="1:1">
      <c r="A11" s="3" t="s">
        <v>8</v>
      </c>
    </row>
    <row r="12" spans="1:1">
      <c r="A12" s="3" t="s">
        <v>9</v>
      </c>
    </row>
    <row r="13" spans="1:1">
      <c r="A13" s="3" t="s">
        <v>10</v>
      </c>
    </row>
    <row r="14" spans="1:1">
      <c r="A14" s="3" t="s">
        <v>11</v>
      </c>
    </row>
    <row r="16" spans="1:1">
      <c r="A16" s="2" t="s">
        <v>12</v>
      </c>
    </row>
    <row r="17" spans="1:1">
      <c r="A17" s="3" t="s">
        <v>13</v>
      </c>
    </row>
    <row r="18" spans="1:1">
      <c r="A18" s="3" t="s">
        <v>14</v>
      </c>
    </row>
    <row r="19" spans="1:1">
      <c r="A19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42"/>
  <sheetViews>
    <sheetView zoomScaleNormal="100" workbookViewId="0"/>
  </sheetViews>
  <sheetFormatPr defaultColWidth="8.6640625" defaultRowHeight="14.4"/>
  <cols>
    <col min="1" max="1" width="2" customWidth="1"/>
    <col min="2" max="2" width="34" customWidth="1"/>
    <col min="3" max="3" width="12" customWidth="1"/>
    <col min="4" max="4" width="18" customWidth="1"/>
    <col min="5" max="5" width="48" customWidth="1"/>
  </cols>
  <sheetData>
    <row r="1" spans="2:5" ht="17.399999999999999">
      <c r="B1" s="1" t="s">
        <v>16</v>
      </c>
    </row>
    <row r="2" spans="2:5">
      <c r="B2" s="4" t="s">
        <v>17</v>
      </c>
    </row>
    <row r="4" spans="2:5">
      <c r="B4" s="5" t="s">
        <v>18</v>
      </c>
      <c r="C4" s="5" t="s">
        <v>19</v>
      </c>
      <c r="D4" s="5" t="s">
        <v>20</v>
      </c>
      <c r="E4" s="5" t="s">
        <v>21</v>
      </c>
    </row>
    <row r="5" spans="2:5">
      <c r="B5" s="6" t="s">
        <v>22</v>
      </c>
      <c r="C5" s="7"/>
      <c r="D5" s="7"/>
      <c r="E5" s="7"/>
    </row>
    <row r="6" spans="2:5">
      <c r="B6" s="8" t="s">
        <v>23</v>
      </c>
      <c r="C6" s="9">
        <v>100</v>
      </c>
      <c r="D6" s="8" t="s">
        <v>24</v>
      </c>
      <c r="E6" s="10" t="s">
        <v>25</v>
      </c>
    </row>
    <row r="7" spans="2:5">
      <c r="B7" s="8" t="s">
        <v>26</v>
      </c>
      <c r="C7" s="9">
        <v>400</v>
      </c>
      <c r="D7" s="8" t="s">
        <v>27</v>
      </c>
      <c r="E7" s="10" t="s">
        <v>28</v>
      </c>
    </row>
    <row r="8" spans="2:5">
      <c r="B8" s="8" t="s">
        <v>29</v>
      </c>
      <c r="C8" s="11">
        <v>2</v>
      </c>
      <c r="D8" s="8"/>
      <c r="E8" s="10" t="s">
        <v>30</v>
      </c>
    </row>
    <row r="9" spans="2:5">
      <c r="B9" s="8" t="s">
        <v>31</v>
      </c>
      <c r="C9" s="12">
        <v>0.6</v>
      </c>
      <c r="D9" s="8" t="s">
        <v>32</v>
      </c>
      <c r="E9" s="10" t="s">
        <v>33</v>
      </c>
    </row>
    <row r="10" spans="2:5">
      <c r="B10" s="8" t="s">
        <v>34</v>
      </c>
      <c r="C10" s="13">
        <f>(C7*60-C9*(C6-1))/SUMPRODUCT((เลเวล!$A$5:$A$104&lt;C6)*(เลเวล!$A$5:$A$104^C8))</f>
        <v>7.291183188670626E-2</v>
      </c>
      <c r="D10" s="14"/>
      <c r="E10" s="10" t="s">
        <v>35</v>
      </c>
    </row>
    <row r="11" spans="2:5">
      <c r="B11" s="6" t="s">
        <v>36</v>
      </c>
      <c r="C11" s="7"/>
      <c r="D11" s="7"/>
      <c r="E11" s="7"/>
    </row>
    <row r="12" spans="2:5">
      <c r="B12" s="8" t="s">
        <v>37</v>
      </c>
      <c r="C12" s="15">
        <v>10</v>
      </c>
      <c r="D12" s="8"/>
      <c r="E12" s="10" t="s">
        <v>38</v>
      </c>
    </row>
    <row r="13" spans="2:5">
      <c r="B13" s="8" t="s">
        <v>39</v>
      </c>
      <c r="C13" s="15">
        <v>2</v>
      </c>
      <c r="D13" s="8"/>
      <c r="E13" s="10"/>
    </row>
    <row r="14" spans="2:5">
      <c r="B14" s="8" t="s">
        <v>40</v>
      </c>
      <c r="C14" s="16">
        <v>0.02</v>
      </c>
      <c r="D14" s="8"/>
      <c r="E14" s="10" t="s">
        <v>41</v>
      </c>
    </row>
    <row r="15" spans="2:5">
      <c r="B15" s="8" t="s">
        <v>42</v>
      </c>
      <c r="C15" s="15">
        <v>90</v>
      </c>
      <c r="D15" s="8"/>
      <c r="E15" s="10" t="s">
        <v>43</v>
      </c>
    </row>
    <row r="16" spans="2:5">
      <c r="B16" s="8" t="s">
        <v>44</v>
      </c>
      <c r="C16" s="15">
        <v>10</v>
      </c>
      <c r="D16" s="8"/>
      <c r="E16" s="10"/>
    </row>
    <row r="17" spans="2:5">
      <c r="B17" s="8" t="s">
        <v>45</v>
      </c>
      <c r="C17" s="16">
        <v>1.4999999999999999E-2</v>
      </c>
      <c r="D17" s="8"/>
      <c r="E17" s="10"/>
    </row>
    <row r="18" spans="2:5">
      <c r="B18" s="8" t="s">
        <v>46</v>
      </c>
      <c r="C18" s="17">
        <v>0.7</v>
      </c>
      <c r="D18" s="8" t="s">
        <v>47</v>
      </c>
      <c r="E18" s="10" t="s">
        <v>48</v>
      </c>
    </row>
    <row r="19" spans="2:5">
      <c r="B19" s="6" t="s">
        <v>49</v>
      </c>
      <c r="C19" s="7"/>
      <c r="D19" s="7"/>
      <c r="E19" s="7"/>
    </row>
    <row r="20" spans="2:5">
      <c r="B20" s="8" t="s">
        <v>50</v>
      </c>
      <c r="C20" s="9">
        <v>4</v>
      </c>
      <c r="D20" s="8" t="s">
        <v>51</v>
      </c>
      <c r="E20" s="10" t="s">
        <v>52</v>
      </c>
    </row>
    <row r="21" spans="2:5">
      <c r="B21" s="8" t="s">
        <v>53</v>
      </c>
      <c r="C21" s="15">
        <v>4</v>
      </c>
      <c r="D21" s="8" t="s">
        <v>54</v>
      </c>
      <c r="E21" s="10" t="s">
        <v>55</v>
      </c>
    </row>
    <row r="22" spans="2:5">
      <c r="B22" s="8" t="s">
        <v>56</v>
      </c>
      <c r="C22" s="16">
        <v>0.05</v>
      </c>
      <c r="D22" s="8" t="s">
        <v>57</v>
      </c>
      <c r="E22" s="10"/>
    </row>
    <row r="23" spans="2:5">
      <c r="B23" s="8" t="s">
        <v>58</v>
      </c>
      <c r="C23" s="15">
        <v>12</v>
      </c>
      <c r="D23" s="8" t="s">
        <v>51</v>
      </c>
      <c r="E23" s="10" t="s">
        <v>59</v>
      </c>
    </row>
    <row r="24" spans="2:5">
      <c r="B24" s="8" t="s">
        <v>60</v>
      </c>
      <c r="C24" s="15">
        <v>15</v>
      </c>
      <c r="D24" s="8"/>
      <c r="E24" s="10" t="s">
        <v>61</v>
      </c>
    </row>
    <row r="25" spans="2:5">
      <c r="B25" s="8" t="s">
        <v>62</v>
      </c>
      <c r="C25" s="17">
        <v>3</v>
      </c>
      <c r="D25" s="8"/>
      <c r="E25" s="10" t="s">
        <v>63</v>
      </c>
    </row>
    <row r="26" spans="2:5">
      <c r="B26" s="8" t="s">
        <v>64</v>
      </c>
      <c r="C26" s="17">
        <v>0.5</v>
      </c>
      <c r="D26" s="8" t="s">
        <v>65</v>
      </c>
      <c r="E26" s="10" t="s">
        <v>66</v>
      </c>
    </row>
    <row r="27" spans="2:5">
      <c r="B27" s="8" t="s">
        <v>67</v>
      </c>
      <c r="C27" s="18">
        <v>0.2</v>
      </c>
      <c r="D27" s="8"/>
      <c r="E27" s="10"/>
    </row>
    <row r="28" spans="2:5">
      <c r="B28" s="6" t="s">
        <v>68</v>
      </c>
      <c r="C28" s="7"/>
      <c r="D28" s="7"/>
      <c r="E28" s="7"/>
    </row>
    <row r="29" spans="2:5">
      <c r="B29" s="8" t="s">
        <v>69</v>
      </c>
      <c r="C29" s="15">
        <v>40</v>
      </c>
      <c r="D29" s="8" t="s">
        <v>70</v>
      </c>
      <c r="E29" s="10" t="s">
        <v>71</v>
      </c>
    </row>
    <row r="30" spans="2:5">
      <c r="B30" s="8" t="s">
        <v>72</v>
      </c>
      <c r="C30" s="15">
        <v>25</v>
      </c>
      <c r="D30" s="8" t="s">
        <v>70</v>
      </c>
      <c r="E30" s="10"/>
    </row>
    <row r="31" spans="2:5">
      <c r="B31" s="8" t="s">
        <v>73</v>
      </c>
      <c r="C31" s="12">
        <v>2.5</v>
      </c>
      <c r="D31" s="8" t="s">
        <v>70</v>
      </c>
      <c r="E31" s="10"/>
    </row>
    <row r="32" spans="2:5">
      <c r="B32" s="8" t="s">
        <v>74</v>
      </c>
      <c r="C32" s="12">
        <v>2</v>
      </c>
      <c r="D32" s="8" t="s">
        <v>70</v>
      </c>
      <c r="E32" s="10"/>
    </row>
    <row r="33" spans="2:5">
      <c r="B33" s="8" t="s">
        <v>75</v>
      </c>
      <c r="C33" s="15">
        <v>20</v>
      </c>
      <c r="D33" s="8" t="s">
        <v>70</v>
      </c>
      <c r="E33" s="10"/>
    </row>
    <row r="34" spans="2:5">
      <c r="B34" s="6" t="s">
        <v>76</v>
      </c>
      <c r="C34" s="7"/>
      <c r="D34" s="7"/>
      <c r="E34" s="7"/>
    </row>
    <row r="35" spans="2:5">
      <c r="B35" s="19" t="s">
        <v>77</v>
      </c>
      <c r="C35" s="20">
        <f>INDEX(เลเวล!$R$5:$R$104,10)*60</f>
        <v>26.406666666666666</v>
      </c>
      <c r="D35" s="21" t="s">
        <v>32</v>
      </c>
      <c r="E35" s="10"/>
    </row>
    <row r="36" spans="2:5">
      <c r="B36" s="19" t="s">
        <v>78</v>
      </c>
      <c r="C36" s="22">
        <f>INDEX(เลเวล!$R$5:$R$104,20)</f>
        <v>3.2073333333333331</v>
      </c>
      <c r="D36" s="21" t="s">
        <v>27</v>
      </c>
      <c r="E36" s="10"/>
    </row>
    <row r="37" spans="2:5">
      <c r="B37" s="19" t="s">
        <v>79</v>
      </c>
      <c r="C37" s="22">
        <f>INDEX(เลเวล!$R$5:$R$104,30)</f>
        <v>10.708111111111112</v>
      </c>
      <c r="D37" s="21" t="s">
        <v>27</v>
      </c>
      <c r="E37" s="10"/>
    </row>
    <row r="38" spans="2:5">
      <c r="B38" s="19" t="s">
        <v>80</v>
      </c>
      <c r="C38" s="22">
        <f>INDEX(เลเวล!$R$5:$R$104,50)</f>
        <v>49.658888888888896</v>
      </c>
      <c r="D38" s="21" t="s">
        <v>27</v>
      </c>
      <c r="E38" s="10"/>
    </row>
    <row r="39" spans="2:5">
      <c r="B39" s="19" t="s">
        <v>81</v>
      </c>
      <c r="C39" s="22">
        <f>INDEX(เลเวล!$R$5:$R$104,C6)</f>
        <v>400.09311111111111</v>
      </c>
      <c r="D39" s="21" t="s">
        <v>27</v>
      </c>
      <c r="E39" s="10"/>
    </row>
    <row r="40" spans="2:5">
      <c r="B40" s="19" t="s">
        <v>82</v>
      </c>
      <c r="C40" s="20">
        <f>C39/2</f>
        <v>200.04655555555556</v>
      </c>
      <c r="D40" s="21" t="s">
        <v>83</v>
      </c>
      <c r="E40" s="10"/>
    </row>
    <row r="41" spans="2:5">
      <c r="B41" s="19" t="s">
        <v>84</v>
      </c>
      <c r="C41" s="23">
        <f>INDEX(เลเวล!$P$5:$P$104,1)</f>
        <v>5</v>
      </c>
      <c r="D41" s="21" t="s">
        <v>85</v>
      </c>
      <c r="E41" s="10"/>
    </row>
    <row r="42" spans="2:5">
      <c r="B42" s="19" t="s">
        <v>86</v>
      </c>
      <c r="C42" s="23">
        <f>INDEX(เลเวล!$P$5:$P$104,50)</f>
        <v>1614</v>
      </c>
      <c r="D42" s="21" t="s">
        <v>85</v>
      </c>
      <c r="E42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7" width="12" customWidth="1"/>
    <col min="18" max="18" width="16" customWidth="1"/>
  </cols>
  <sheetData>
    <row r="1" spans="1:18" ht="17.399999999999999">
      <c r="A1" s="1" t="s">
        <v>87</v>
      </c>
    </row>
    <row r="2" spans="1:18">
      <c r="A2" s="4" t="s">
        <v>88</v>
      </c>
    </row>
    <row r="4" spans="1:18" ht="33.75" customHeight="1">
      <c r="A4" s="24" t="s">
        <v>24</v>
      </c>
      <c r="B4" s="24" t="s">
        <v>89</v>
      </c>
      <c r="C4" s="24" t="s">
        <v>90</v>
      </c>
      <c r="D4" s="24" t="s">
        <v>91</v>
      </c>
      <c r="E4" s="24" t="s">
        <v>92</v>
      </c>
      <c r="F4" s="24" t="s">
        <v>93</v>
      </c>
      <c r="G4" s="24" t="s">
        <v>94</v>
      </c>
      <c r="H4" s="24" t="s">
        <v>95</v>
      </c>
      <c r="I4" s="24" t="s">
        <v>96</v>
      </c>
      <c r="J4" s="24" t="s">
        <v>97</v>
      </c>
      <c r="K4" s="24" t="s">
        <v>98</v>
      </c>
      <c r="L4" s="24" t="s">
        <v>99</v>
      </c>
      <c r="M4" s="24" t="s">
        <v>100</v>
      </c>
      <c r="N4" s="24" t="s">
        <v>101</v>
      </c>
      <c r="O4" s="24" t="s">
        <v>102</v>
      </c>
      <c r="P4" s="24" t="s">
        <v>103</v>
      </c>
      <c r="Q4" s="24" t="s">
        <v>104</v>
      </c>
      <c r="R4" s="24" t="s">
        <v>105</v>
      </c>
    </row>
    <row r="5" spans="1:18">
      <c r="A5" s="3">
        <v>1</v>
      </c>
      <c r="B5" s="25">
        <f>ROUND(ตั้งค่า!$C$24*A5^ตั้งค่า!$C$25,0)</f>
        <v>15</v>
      </c>
      <c r="C5" s="25">
        <f>0</f>
        <v>0</v>
      </c>
      <c r="D5" s="26">
        <f>ROUND((ตั้งค่า!$C$12+ตั้งค่า!$C$13*A5)*(1+ตั้งค่า!$C$14)^(A5-1),1)</f>
        <v>12</v>
      </c>
      <c r="E5" s="25">
        <f>ROUND((ตั้งค่า!$C$15+ตั้งค่า!$C$16*A5)*(1+ตั้งค่า!$C$17)^(A5-1),0)</f>
        <v>100</v>
      </c>
      <c r="F5" s="25">
        <f>ROUND(D5*ตั้งค่า!$C$22,0)</f>
        <v>1</v>
      </c>
      <c r="G5" s="26">
        <f t="shared" ref="G5:G36" si="0">MAX(1,D5-F5)</f>
        <v>11</v>
      </c>
      <c r="H5" s="25">
        <f>ROUND(ตั้งค่า!$C$20*G5,0)</f>
        <v>44</v>
      </c>
      <c r="I5" s="25">
        <f>MAX(1,ROUND(E5/ตั้งค่า!$C$23,0))</f>
        <v>8</v>
      </c>
      <c r="J5" s="27">
        <f>ตั้งค่า!$C$20*ตั้งค่า!$C$18+ตั้งค่า!$C$21</f>
        <v>6.8</v>
      </c>
      <c r="K5" s="27">
        <f>ตั้งค่า!$C$10*A5^ตั้งค่า!$C$8+ตั้งค่า!$C$9</f>
        <v>0.67291183188670622</v>
      </c>
      <c r="L5" s="25">
        <f t="shared" ref="L5:L36" si="1">K5*60/J5</f>
        <v>5.9374573401768194</v>
      </c>
      <c r="M5" s="25">
        <f t="shared" ref="M5:M36" si="2">MAX(1,ROUND(B5/L5,0))</f>
        <v>3</v>
      </c>
      <c r="N5" s="25">
        <f>MAX(1,ROUND(M5*ตั้งค่า!$C$26*(1-ตั้งค่า!$C$27),0))</f>
        <v>1</v>
      </c>
      <c r="O5" s="25">
        <f>MAX(1,ROUND(M5*ตั้งค่า!$C$26*(1+ตั้งค่า!$C$27),0))</f>
        <v>2</v>
      </c>
      <c r="P5" s="25">
        <f t="shared" ref="P5:P36" si="3">ROUNDUP(B5/M5,0)</f>
        <v>5</v>
      </c>
      <c r="Q5" s="27">
        <f t="shared" ref="Q5:Q36" si="4">P5*J5/60</f>
        <v>0.56666666666666665</v>
      </c>
      <c r="R5" s="26">
        <f>0</f>
        <v>0</v>
      </c>
    </row>
    <row r="6" spans="1:18">
      <c r="A6" s="3">
        <v>2</v>
      </c>
      <c r="B6" s="25">
        <f>ROUND(ตั้งค่า!$C$24*A6^ตั้งค่า!$C$25,0)</f>
        <v>120</v>
      </c>
      <c r="C6" s="25">
        <f t="shared" ref="C6:C37" si="5">C5+B5</f>
        <v>15</v>
      </c>
      <c r="D6" s="26">
        <f>ROUND((ตั้งค่า!$C$12+ตั้งค่า!$C$13*A6)*(1+ตั้งค่า!$C$14)^(A6-1),1)</f>
        <v>14.3</v>
      </c>
      <c r="E6" s="25">
        <f>ROUND((ตั้งค่า!$C$15+ตั้งค่า!$C$16*A6)*(1+ตั้งค่า!$C$17)^(A6-1),0)</f>
        <v>112</v>
      </c>
      <c r="F6" s="25">
        <f>ROUND(D6*ตั้งค่า!$C$22,0)</f>
        <v>1</v>
      </c>
      <c r="G6" s="26">
        <f t="shared" si="0"/>
        <v>13.3</v>
      </c>
      <c r="H6" s="25">
        <f>ROUND(ตั้งค่า!$C$20*G6,0)</f>
        <v>53</v>
      </c>
      <c r="I6" s="25">
        <f>MAX(1,ROUND(E6/ตั้งค่า!$C$23,0))</f>
        <v>9</v>
      </c>
      <c r="J6" s="27">
        <f>ตั้งค่า!$C$20*ตั้งค่า!$C$18+ตั้งค่า!$C$21</f>
        <v>6.8</v>
      </c>
      <c r="K6" s="27">
        <f>ตั้งค่า!$C$10*A6^ตั้งค่า!$C$8+ตั้งค่า!$C$9</f>
        <v>0.89164732754682507</v>
      </c>
      <c r="L6" s="25">
        <f t="shared" si="1"/>
        <v>7.86747641953081</v>
      </c>
      <c r="M6" s="25">
        <f t="shared" si="2"/>
        <v>15</v>
      </c>
      <c r="N6" s="25">
        <f>MAX(1,ROUND(M6*ตั้งค่า!$C$26*(1-ตั้งค่า!$C$27),0))</f>
        <v>6</v>
      </c>
      <c r="O6" s="25">
        <f>MAX(1,ROUND(M6*ตั้งค่า!$C$26*(1+ตั้งค่า!$C$27),0))</f>
        <v>9</v>
      </c>
      <c r="P6" s="25">
        <f t="shared" si="3"/>
        <v>8</v>
      </c>
      <c r="Q6" s="27">
        <f t="shared" si="4"/>
        <v>0.90666666666666662</v>
      </c>
      <c r="R6" s="26">
        <f t="shared" ref="R6:R37" si="6">R5+Q5/60</f>
        <v>9.4444444444444445E-3</v>
      </c>
    </row>
    <row r="7" spans="1:18">
      <c r="A7" s="3">
        <v>3</v>
      </c>
      <c r="B7" s="25">
        <f>ROUND(ตั้งค่า!$C$24*A7^ตั้งค่า!$C$25,0)</f>
        <v>405</v>
      </c>
      <c r="C7" s="25">
        <f t="shared" si="5"/>
        <v>135</v>
      </c>
      <c r="D7" s="26">
        <f>ROUND((ตั้งค่า!$C$12+ตั้งค่า!$C$13*A7)*(1+ตั้งค่า!$C$14)^(A7-1),1)</f>
        <v>16.600000000000001</v>
      </c>
      <c r="E7" s="25">
        <f>ROUND((ตั้งค่า!$C$15+ตั้งค่า!$C$16*A7)*(1+ตั้งค่า!$C$17)^(A7-1),0)</f>
        <v>124</v>
      </c>
      <c r="F7" s="25">
        <f>ROUND(D7*ตั้งค่า!$C$22,0)</f>
        <v>1</v>
      </c>
      <c r="G7" s="26">
        <f t="shared" si="0"/>
        <v>15.600000000000001</v>
      </c>
      <c r="H7" s="25">
        <f>ROUND(ตั้งค่า!$C$20*G7,0)</f>
        <v>62</v>
      </c>
      <c r="I7" s="25">
        <f>MAX(1,ROUND(E7/ตั้งค่า!$C$23,0))</f>
        <v>10</v>
      </c>
      <c r="J7" s="27">
        <f>ตั้งค่า!$C$20*ตั้งค่า!$C$18+ตั้งค่า!$C$21</f>
        <v>6.8</v>
      </c>
      <c r="K7" s="27">
        <f>ตั้งค่า!$C$10*A7^ตั้งค่า!$C$8+ตั้งค่า!$C$9</f>
        <v>1.2562064869803562</v>
      </c>
      <c r="L7" s="25">
        <f t="shared" si="1"/>
        <v>11.08417488512079</v>
      </c>
      <c r="M7" s="25">
        <f t="shared" si="2"/>
        <v>37</v>
      </c>
      <c r="N7" s="25">
        <f>MAX(1,ROUND(M7*ตั้งค่า!$C$26*(1-ตั้งค่า!$C$27),0))</f>
        <v>15</v>
      </c>
      <c r="O7" s="25">
        <f>MAX(1,ROUND(M7*ตั้งค่า!$C$26*(1+ตั้งค่า!$C$27),0))</f>
        <v>22</v>
      </c>
      <c r="P7" s="25">
        <f t="shared" si="3"/>
        <v>11</v>
      </c>
      <c r="Q7" s="27">
        <f t="shared" si="4"/>
        <v>1.2466666666666666</v>
      </c>
      <c r="R7" s="26">
        <f t="shared" si="6"/>
        <v>2.4555555555555553E-2</v>
      </c>
    </row>
    <row r="8" spans="1:18">
      <c r="A8" s="3">
        <v>4</v>
      </c>
      <c r="B8" s="25">
        <f>ROUND(ตั้งค่า!$C$24*A8^ตั้งค่า!$C$25,0)</f>
        <v>960</v>
      </c>
      <c r="C8" s="25">
        <f t="shared" si="5"/>
        <v>540</v>
      </c>
      <c r="D8" s="26">
        <f>ROUND((ตั้งค่า!$C$12+ตั้งค่า!$C$13*A8)*(1+ตั้งค่า!$C$14)^(A8-1),1)</f>
        <v>19.100000000000001</v>
      </c>
      <c r="E8" s="25">
        <f>ROUND((ตั้งค่า!$C$15+ตั้งค่า!$C$16*A8)*(1+ตั้งค่า!$C$17)^(A8-1),0)</f>
        <v>136</v>
      </c>
      <c r="F8" s="25">
        <f>ROUND(D8*ตั้งค่า!$C$22,0)</f>
        <v>1</v>
      </c>
      <c r="G8" s="26">
        <f t="shared" si="0"/>
        <v>18.100000000000001</v>
      </c>
      <c r="H8" s="25">
        <f>ROUND(ตั้งค่า!$C$20*G8,0)</f>
        <v>72</v>
      </c>
      <c r="I8" s="25">
        <f>MAX(1,ROUND(E8/ตั้งค่า!$C$23,0))</f>
        <v>11</v>
      </c>
      <c r="J8" s="27">
        <f>ตั้งค่า!$C$20*ตั้งค่า!$C$18+ตั้งค่า!$C$21</f>
        <v>6.8</v>
      </c>
      <c r="K8" s="27">
        <f>ตั้งค่า!$C$10*A8^ตั้งค่า!$C$8+ตั้งค่า!$C$9</f>
        <v>1.7665893101873</v>
      </c>
      <c r="L8" s="25">
        <f t="shared" si="1"/>
        <v>15.587552736946765</v>
      </c>
      <c r="M8" s="25">
        <f t="shared" si="2"/>
        <v>62</v>
      </c>
      <c r="N8" s="25">
        <f>MAX(1,ROUND(M8*ตั้งค่า!$C$26*(1-ตั้งค่า!$C$27),0))</f>
        <v>25</v>
      </c>
      <c r="O8" s="25">
        <f>MAX(1,ROUND(M8*ตั้งค่า!$C$26*(1+ตั้งค่า!$C$27),0))</f>
        <v>37</v>
      </c>
      <c r="P8" s="25">
        <f t="shared" si="3"/>
        <v>16</v>
      </c>
      <c r="Q8" s="27">
        <f t="shared" si="4"/>
        <v>1.8133333333333332</v>
      </c>
      <c r="R8" s="26">
        <f t="shared" si="6"/>
        <v>4.533333333333333E-2</v>
      </c>
    </row>
    <row r="9" spans="1:18">
      <c r="A9" s="3">
        <v>5</v>
      </c>
      <c r="B9" s="25">
        <f>ROUND(ตั้งค่า!$C$24*A9^ตั้งค่า!$C$25,0)</f>
        <v>1875</v>
      </c>
      <c r="C9" s="25">
        <f t="shared" si="5"/>
        <v>1500</v>
      </c>
      <c r="D9" s="26">
        <f>ROUND((ตั้งค่า!$C$12+ตั้งค่า!$C$13*A9)*(1+ตั้งค่า!$C$14)^(A9-1),1)</f>
        <v>21.6</v>
      </c>
      <c r="E9" s="25">
        <f>ROUND((ตั้งค่า!$C$15+ตั้งค่า!$C$16*A9)*(1+ตั้งค่า!$C$17)^(A9-1),0)</f>
        <v>149</v>
      </c>
      <c r="F9" s="25">
        <f>ROUND(D9*ตั้งค่า!$C$22,0)</f>
        <v>1</v>
      </c>
      <c r="G9" s="26">
        <f t="shared" si="0"/>
        <v>20.6</v>
      </c>
      <c r="H9" s="25">
        <f>ROUND(ตั้งค่า!$C$20*G9,0)</f>
        <v>82</v>
      </c>
      <c r="I9" s="25">
        <f>MAX(1,ROUND(E9/ตั้งค่า!$C$23,0))</f>
        <v>12</v>
      </c>
      <c r="J9" s="27">
        <f>ตั้งค่า!$C$20*ตั้งค่า!$C$18+ตั้งค่า!$C$21</f>
        <v>6.8</v>
      </c>
      <c r="K9" s="27">
        <f>ตั้งค่า!$C$10*A9^ตั้งค่า!$C$8+ตั้งค่า!$C$9</f>
        <v>2.4227957971676566</v>
      </c>
      <c r="L9" s="25">
        <f t="shared" si="1"/>
        <v>21.377609975008735</v>
      </c>
      <c r="M9" s="25">
        <f t="shared" si="2"/>
        <v>88</v>
      </c>
      <c r="N9" s="25">
        <f>MAX(1,ROUND(M9*ตั้งค่า!$C$26*(1-ตั้งค่า!$C$27),0))</f>
        <v>35</v>
      </c>
      <c r="O9" s="25">
        <f>MAX(1,ROUND(M9*ตั้งค่า!$C$26*(1+ตั้งค่า!$C$27),0))</f>
        <v>53</v>
      </c>
      <c r="P9" s="25">
        <f t="shared" si="3"/>
        <v>22</v>
      </c>
      <c r="Q9" s="27">
        <f t="shared" si="4"/>
        <v>2.4933333333333332</v>
      </c>
      <c r="R9" s="26">
        <f t="shared" si="6"/>
        <v>7.5555555555555542E-2</v>
      </c>
    </row>
    <row r="10" spans="1:18">
      <c r="A10" s="3">
        <v>6</v>
      </c>
      <c r="B10" s="25">
        <f>ROUND(ตั้งค่า!$C$24*A10^ตั้งค่า!$C$25,0)</f>
        <v>3240</v>
      </c>
      <c r="C10" s="25">
        <f t="shared" si="5"/>
        <v>3375</v>
      </c>
      <c r="D10" s="26">
        <f>ROUND((ตั้งค่า!$C$12+ตั้งค่า!$C$13*A10)*(1+ตั้งค่า!$C$14)^(A10-1),1)</f>
        <v>24.3</v>
      </c>
      <c r="E10" s="25">
        <f>ROUND((ตั้งค่า!$C$15+ตั้งค่า!$C$16*A10)*(1+ตั้งค่า!$C$17)^(A10-1),0)</f>
        <v>162</v>
      </c>
      <c r="F10" s="25">
        <f>ROUND(D10*ตั้งค่า!$C$22,0)</f>
        <v>1</v>
      </c>
      <c r="G10" s="26">
        <f t="shared" si="0"/>
        <v>23.3</v>
      </c>
      <c r="H10" s="25">
        <f>ROUND(ตั้งค่า!$C$20*G10,0)</f>
        <v>93</v>
      </c>
      <c r="I10" s="25">
        <f>MAX(1,ROUND(E10/ตั้งค่า!$C$23,0))</f>
        <v>14</v>
      </c>
      <c r="J10" s="27">
        <f>ตั้งค่า!$C$20*ตั้งค่า!$C$18+ตั้งค่า!$C$21</f>
        <v>6.8</v>
      </c>
      <c r="K10" s="27">
        <f>ตั้งค่า!$C$10*A10^ตั้งค่า!$C$8+ตั้งค่า!$C$9</f>
        <v>3.2248259479214254</v>
      </c>
      <c r="L10" s="25">
        <f t="shared" si="1"/>
        <v>28.454346599306696</v>
      </c>
      <c r="M10" s="25">
        <f t="shared" si="2"/>
        <v>114</v>
      </c>
      <c r="N10" s="25">
        <f>MAX(1,ROUND(M10*ตั้งค่า!$C$26*(1-ตั้งค่า!$C$27),0))</f>
        <v>46</v>
      </c>
      <c r="O10" s="25">
        <f>MAX(1,ROUND(M10*ตั้งค่า!$C$26*(1+ตั้งค่า!$C$27),0))</f>
        <v>68</v>
      </c>
      <c r="P10" s="25">
        <f t="shared" si="3"/>
        <v>29</v>
      </c>
      <c r="Q10" s="27">
        <f t="shared" si="4"/>
        <v>3.2866666666666666</v>
      </c>
      <c r="R10" s="26">
        <f t="shared" si="6"/>
        <v>0.1171111111111111</v>
      </c>
    </row>
    <row r="11" spans="1:18">
      <c r="A11" s="3">
        <v>7</v>
      </c>
      <c r="B11" s="25">
        <f>ROUND(ตั้งค่า!$C$24*A11^ตั้งค่า!$C$25,0)</f>
        <v>5145</v>
      </c>
      <c r="C11" s="25">
        <f t="shared" si="5"/>
        <v>6615</v>
      </c>
      <c r="D11" s="26">
        <f>ROUND((ตั้งค่า!$C$12+ตั้งค่า!$C$13*A11)*(1+ตั้งค่า!$C$14)^(A11-1),1)</f>
        <v>27</v>
      </c>
      <c r="E11" s="25">
        <f>ROUND((ตั้งค่า!$C$15+ตั้งค่า!$C$16*A11)*(1+ตั้งค่า!$C$17)^(A11-1),0)</f>
        <v>175</v>
      </c>
      <c r="F11" s="25">
        <f>ROUND(D11*ตั้งค่า!$C$22,0)</f>
        <v>1</v>
      </c>
      <c r="G11" s="26">
        <f t="shared" si="0"/>
        <v>26</v>
      </c>
      <c r="H11" s="25">
        <f>ROUND(ตั้งค่า!$C$20*G11,0)</f>
        <v>104</v>
      </c>
      <c r="I11" s="25">
        <f>MAX(1,ROUND(E11/ตั้งค่า!$C$23,0))</f>
        <v>15</v>
      </c>
      <c r="J11" s="27">
        <f>ตั้งค่า!$C$20*ตั้งค่า!$C$18+ตั้งค่า!$C$21</f>
        <v>6.8</v>
      </c>
      <c r="K11" s="27">
        <f>ตั้งค่า!$C$10*A11^ตั้งค่า!$C$8+ตั้งค่า!$C$9</f>
        <v>4.1726797624486069</v>
      </c>
      <c r="L11" s="25">
        <f t="shared" si="1"/>
        <v>36.817762609840649</v>
      </c>
      <c r="M11" s="25">
        <f t="shared" si="2"/>
        <v>140</v>
      </c>
      <c r="N11" s="25">
        <f>MAX(1,ROUND(M11*ตั้งค่า!$C$26*(1-ตั้งค่า!$C$27),0))</f>
        <v>56</v>
      </c>
      <c r="O11" s="25">
        <f>MAX(1,ROUND(M11*ตั้งค่า!$C$26*(1+ตั้งค่า!$C$27),0))</f>
        <v>84</v>
      </c>
      <c r="P11" s="25">
        <f t="shared" si="3"/>
        <v>37</v>
      </c>
      <c r="Q11" s="27">
        <f t="shared" si="4"/>
        <v>4.1933333333333334</v>
      </c>
      <c r="R11" s="26">
        <f t="shared" si="6"/>
        <v>0.17188888888888887</v>
      </c>
    </row>
    <row r="12" spans="1:18">
      <c r="A12" s="3">
        <v>8</v>
      </c>
      <c r="B12" s="25">
        <f>ROUND(ตั้งค่า!$C$24*A12^ตั้งค่า!$C$25,0)</f>
        <v>7680</v>
      </c>
      <c r="C12" s="25">
        <f t="shared" si="5"/>
        <v>11760</v>
      </c>
      <c r="D12" s="26">
        <f>ROUND((ตั้งค่า!$C$12+ตั้งค่า!$C$13*A12)*(1+ตั้งค่า!$C$14)^(A12-1),1)</f>
        <v>29.9</v>
      </c>
      <c r="E12" s="25">
        <f>ROUND((ตั้งค่า!$C$15+ตั้งค่า!$C$16*A12)*(1+ตั้งค่า!$C$17)^(A12-1),0)</f>
        <v>189</v>
      </c>
      <c r="F12" s="25">
        <f>ROUND(D12*ตั้งค่า!$C$22,0)</f>
        <v>1</v>
      </c>
      <c r="G12" s="26">
        <f t="shared" si="0"/>
        <v>28.9</v>
      </c>
      <c r="H12" s="25">
        <f>ROUND(ตั้งค่า!$C$20*G12,0)</f>
        <v>116</v>
      </c>
      <c r="I12" s="25">
        <f>MAX(1,ROUND(E12/ตั้งค่า!$C$23,0))</f>
        <v>16</v>
      </c>
      <c r="J12" s="27">
        <f>ตั้งค่า!$C$20*ตั้งค่า!$C$18+ตั้งค่า!$C$21</f>
        <v>6.8</v>
      </c>
      <c r="K12" s="27">
        <f>ตั้งค่า!$C$10*A12^ตั้งค่า!$C$8+ตั้งค่า!$C$9</f>
        <v>5.2663572407492003</v>
      </c>
      <c r="L12" s="25">
        <f t="shared" si="1"/>
        <v>46.467858006610591</v>
      </c>
      <c r="M12" s="25">
        <f t="shared" si="2"/>
        <v>165</v>
      </c>
      <c r="N12" s="25">
        <f>MAX(1,ROUND(M12*ตั้งค่า!$C$26*(1-ตั้งค่า!$C$27),0))</f>
        <v>66</v>
      </c>
      <c r="O12" s="25">
        <f>MAX(1,ROUND(M12*ตั้งค่า!$C$26*(1+ตั้งค่า!$C$27),0))</f>
        <v>99</v>
      </c>
      <c r="P12" s="25">
        <f t="shared" si="3"/>
        <v>47</v>
      </c>
      <c r="Q12" s="27">
        <f t="shared" si="4"/>
        <v>5.3266666666666662</v>
      </c>
      <c r="R12" s="26">
        <f t="shared" si="6"/>
        <v>0.24177777777777776</v>
      </c>
    </row>
    <row r="13" spans="1:18">
      <c r="A13" s="3">
        <v>9</v>
      </c>
      <c r="B13" s="25">
        <f>ROUND(ตั้งค่า!$C$24*A13^ตั้งค่า!$C$25,0)</f>
        <v>10935</v>
      </c>
      <c r="C13" s="25">
        <f t="shared" si="5"/>
        <v>19440</v>
      </c>
      <c r="D13" s="26">
        <f>ROUND((ตั้งค่า!$C$12+ตั้งค่า!$C$13*A13)*(1+ตั้งค่า!$C$14)^(A13-1),1)</f>
        <v>32.799999999999997</v>
      </c>
      <c r="E13" s="25">
        <f>ROUND((ตั้งค่า!$C$15+ตั้งค่า!$C$16*A13)*(1+ตั้งค่า!$C$17)^(A13-1),0)</f>
        <v>203</v>
      </c>
      <c r="F13" s="25">
        <f>ROUND(D13*ตั้งค่า!$C$22,0)</f>
        <v>2</v>
      </c>
      <c r="G13" s="26">
        <f t="shared" si="0"/>
        <v>30.799999999999997</v>
      </c>
      <c r="H13" s="25">
        <f>ROUND(ตั้งค่า!$C$20*G13,0)</f>
        <v>123</v>
      </c>
      <c r="I13" s="25">
        <f>MAX(1,ROUND(E13/ตั้งค่า!$C$23,0))</f>
        <v>17</v>
      </c>
      <c r="J13" s="27">
        <f>ตั้งค่า!$C$20*ตั้งค่า!$C$18+ตั้งค่า!$C$21</f>
        <v>6.8</v>
      </c>
      <c r="K13" s="27">
        <f>ตั้งค่า!$C$10*A13^ตั้งค่า!$C$8+ตั้งค่า!$C$9</f>
        <v>6.5058583828232068</v>
      </c>
      <c r="L13" s="25">
        <f t="shared" si="1"/>
        <v>57.404632789616535</v>
      </c>
      <c r="M13" s="25">
        <f t="shared" si="2"/>
        <v>190</v>
      </c>
      <c r="N13" s="25">
        <f>MAX(1,ROUND(M13*ตั้งค่า!$C$26*(1-ตั้งค่า!$C$27),0))</f>
        <v>76</v>
      </c>
      <c r="O13" s="25">
        <f>MAX(1,ROUND(M13*ตั้งค่า!$C$26*(1+ตั้งค่า!$C$27),0))</f>
        <v>114</v>
      </c>
      <c r="P13" s="25">
        <f t="shared" si="3"/>
        <v>58</v>
      </c>
      <c r="Q13" s="27">
        <f t="shared" si="4"/>
        <v>6.5733333333333333</v>
      </c>
      <c r="R13" s="26">
        <f t="shared" si="6"/>
        <v>0.33055555555555555</v>
      </c>
    </row>
    <row r="14" spans="1:18">
      <c r="A14" s="3">
        <v>10</v>
      </c>
      <c r="B14" s="25">
        <f>ROUND(ตั้งค่า!$C$24*A14^ตั้งค่า!$C$25,0)</f>
        <v>15000</v>
      </c>
      <c r="C14" s="25">
        <f t="shared" si="5"/>
        <v>30375</v>
      </c>
      <c r="D14" s="26">
        <f>ROUND((ตั้งค่า!$C$12+ตั้งค่า!$C$13*A14)*(1+ตั้งค่า!$C$14)^(A14-1),1)</f>
        <v>35.9</v>
      </c>
      <c r="E14" s="25">
        <f>ROUND((ตั้งค่า!$C$15+ตั้งค่า!$C$16*A14)*(1+ตั้งค่า!$C$17)^(A14-1),0)</f>
        <v>217</v>
      </c>
      <c r="F14" s="25">
        <f>ROUND(D14*ตั้งค่า!$C$22,0)</f>
        <v>2</v>
      </c>
      <c r="G14" s="26">
        <f t="shared" si="0"/>
        <v>33.9</v>
      </c>
      <c r="H14" s="25">
        <f>ROUND(ตั้งค่า!$C$20*G14,0)</f>
        <v>136</v>
      </c>
      <c r="I14" s="25">
        <f>MAX(1,ROUND(E14/ตั้งค่า!$C$23,0))</f>
        <v>18</v>
      </c>
      <c r="J14" s="27">
        <f>ตั้งค่า!$C$20*ตั้งค่า!$C$18+ตั้งค่า!$C$21</f>
        <v>6.8</v>
      </c>
      <c r="K14" s="27">
        <f>ตั้งค่า!$C$10*A14^ตั้งค่า!$C$8+ตั้งค่า!$C$9</f>
        <v>7.8911831886706256</v>
      </c>
      <c r="L14" s="25">
        <f t="shared" si="1"/>
        <v>69.628086958858461</v>
      </c>
      <c r="M14" s="25">
        <f t="shared" si="2"/>
        <v>215</v>
      </c>
      <c r="N14" s="25">
        <f>MAX(1,ROUND(M14*ตั้งค่า!$C$26*(1-ตั้งค่า!$C$27),0))</f>
        <v>86</v>
      </c>
      <c r="O14" s="25">
        <f>MAX(1,ROUND(M14*ตั้งค่า!$C$26*(1+ตั้งค่า!$C$27),0))</f>
        <v>129</v>
      </c>
      <c r="P14" s="25">
        <f t="shared" si="3"/>
        <v>70</v>
      </c>
      <c r="Q14" s="27">
        <f t="shared" si="4"/>
        <v>7.9333333333333336</v>
      </c>
      <c r="R14" s="26">
        <f t="shared" si="6"/>
        <v>0.44011111111111112</v>
      </c>
    </row>
    <row r="15" spans="1:18">
      <c r="A15" s="3">
        <v>11</v>
      </c>
      <c r="B15" s="25">
        <f>ROUND(ตั้งค่า!$C$24*A15^ตั้งค่า!$C$25,0)</f>
        <v>19965</v>
      </c>
      <c r="C15" s="25">
        <f t="shared" si="5"/>
        <v>45375</v>
      </c>
      <c r="D15" s="26">
        <f>ROUND((ตั้งค่า!$C$12+ตั้งค่า!$C$13*A15)*(1+ตั้งค่า!$C$14)^(A15-1),1)</f>
        <v>39</v>
      </c>
      <c r="E15" s="25">
        <f>ROUND((ตั้งค่า!$C$15+ตั้งค่า!$C$16*A15)*(1+ตั้งค่า!$C$17)^(A15-1),0)</f>
        <v>232</v>
      </c>
      <c r="F15" s="25">
        <f>ROUND(D15*ตั้งค่า!$C$22,0)</f>
        <v>2</v>
      </c>
      <c r="G15" s="26">
        <f t="shared" si="0"/>
        <v>37</v>
      </c>
      <c r="H15" s="25">
        <f>ROUND(ตั้งค่า!$C$20*G15,0)</f>
        <v>148</v>
      </c>
      <c r="I15" s="25">
        <f>MAX(1,ROUND(E15/ตั้งค่า!$C$23,0))</f>
        <v>19</v>
      </c>
      <c r="J15" s="27">
        <f>ตั้งค่า!$C$20*ตั้งค่า!$C$18+ตั้งค่า!$C$21</f>
        <v>6.8</v>
      </c>
      <c r="K15" s="27">
        <f>ตั้งค่า!$C$10*A15^ตั้งค่า!$C$8+ตั้งค่า!$C$9</f>
        <v>9.4223316582914567</v>
      </c>
      <c r="L15" s="25">
        <f t="shared" si="1"/>
        <v>83.138220514336382</v>
      </c>
      <c r="M15" s="25">
        <f t="shared" si="2"/>
        <v>240</v>
      </c>
      <c r="N15" s="25">
        <f>MAX(1,ROUND(M15*ตั้งค่า!$C$26*(1-ตั้งค่า!$C$27),0))</f>
        <v>96</v>
      </c>
      <c r="O15" s="25">
        <f>MAX(1,ROUND(M15*ตั้งค่า!$C$26*(1+ตั้งค่า!$C$27),0))</f>
        <v>144</v>
      </c>
      <c r="P15" s="25">
        <f t="shared" si="3"/>
        <v>84</v>
      </c>
      <c r="Q15" s="27">
        <f t="shared" si="4"/>
        <v>9.52</v>
      </c>
      <c r="R15" s="26">
        <f t="shared" si="6"/>
        <v>0.57233333333333336</v>
      </c>
    </row>
    <row r="16" spans="1:18">
      <c r="A16" s="3">
        <v>12</v>
      </c>
      <c r="B16" s="25">
        <f>ROUND(ตั้งค่า!$C$24*A16^ตั้งค่า!$C$25,0)</f>
        <v>25920</v>
      </c>
      <c r="C16" s="25">
        <f t="shared" si="5"/>
        <v>65340</v>
      </c>
      <c r="D16" s="26">
        <f>ROUND((ตั้งค่า!$C$12+ตั้งค่า!$C$13*A16)*(1+ตั้งค่า!$C$14)^(A16-1),1)</f>
        <v>42.3</v>
      </c>
      <c r="E16" s="25">
        <f>ROUND((ตั้งค่า!$C$15+ตั้งค่า!$C$16*A16)*(1+ตั้งค่า!$C$17)^(A16-1),0)</f>
        <v>247</v>
      </c>
      <c r="F16" s="25">
        <f>ROUND(D16*ตั้งค่า!$C$22,0)</f>
        <v>2</v>
      </c>
      <c r="G16" s="26">
        <f t="shared" si="0"/>
        <v>40.299999999999997</v>
      </c>
      <c r="H16" s="25">
        <f>ROUND(ตั้งค่า!$C$20*G16,0)</f>
        <v>161</v>
      </c>
      <c r="I16" s="25">
        <f>MAX(1,ROUND(E16/ตั้งค่า!$C$23,0))</f>
        <v>21</v>
      </c>
      <c r="J16" s="27">
        <f>ตั้งค่า!$C$20*ตั้งค่า!$C$18+ตั้งค่า!$C$21</f>
        <v>6.8</v>
      </c>
      <c r="K16" s="27">
        <f>ตั้งค่า!$C$10*A16^ตั้งค่า!$C$8+ตั้งค่า!$C$9</f>
        <v>11.099303791685701</v>
      </c>
      <c r="L16" s="25">
        <f t="shared" si="1"/>
        <v>97.935033456050292</v>
      </c>
      <c r="M16" s="25">
        <f t="shared" si="2"/>
        <v>265</v>
      </c>
      <c r="N16" s="25">
        <f>MAX(1,ROUND(M16*ตั้งค่า!$C$26*(1-ตั้งค่า!$C$27),0))</f>
        <v>106</v>
      </c>
      <c r="O16" s="25">
        <f>MAX(1,ROUND(M16*ตั้งค่า!$C$26*(1+ตั้งค่า!$C$27),0))</f>
        <v>159</v>
      </c>
      <c r="P16" s="25">
        <f t="shared" si="3"/>
        <v>98</v>
      </c>
      <c r="Q16" s="27">
        <f t="shared" si="4"/>
        <v>11.106666666666666</v>
      </c>
      <c r="R16" s="26">
        <f t="shared" si="6"/>
        <v>0.73099999999999998</v>
      </c>
    </row>
    <row r="17" spans="1:18">
      <c r="A17" s="3">
        <v>13</v>
      </c>
      <c r="B17" s="25">
        <f>ROUND(ตั้งค่า!$C$24*A17^ตั้งค่า!$C$25,0)</f>
        <v>32955</v>
      </c>
      <c r="C17" s="25">
        <f t="shared" si="5"/>
        <v>91260</v>
      </c>
      <c r="D17" s="26">
        <f>ROUND((ตั้งค่า!$C$12+ตั้งค่า!$C$13*A17)*(1+ตั้งค่า!$C$14)^(A17-1),1)</f>
        <v>45.7</v>
      </c>
      <c r="E17" s="25">
        <f>ROUND((ตั้งค่า!$C$15+ตั้งค่า!$C$16*A17)*(1+ตั้งค่า!$C$17)^(A17-1),0)</f>
        <v>263</v>
      </c>
      <c r="F17" s="25">
        <f>ROUND(D17*ตั้งค่า!$C$22,0)</f>
        <v>2</v>
      </c>
      <c r="G17" s="26">
        <f t="shared" si="0"/>
        <v>43.7</v>
      </c>
      <c r="H17" s="25">
        <f>ROUND(ตั้งค่า!$C$20*G17,0)</f>
        <v>175</v>
      </c>
      <c r="I17" s="25">
        <f>MAX(1,ROUND(E17/ตั้งค่า!$C$23,0))</f>
        <v>22</v>
      </c>
      <c r="J17" s="27">
        <f>ตั้งค่า!$C$20*ตั้งค่า!$C$18+ตั้งค่า!$C$21</f>
        <v>6.8</v>
      </c>
      <c r="K17" s="27">
        <f>ตั้งค่า!$C$10*A17^ตั้งค่า!$C$8+ตั้งค่า!$C$9</f>
        <v>12.922099588853358</v>
      </c>
      <c r="L17" s="25">
        <f t="shared" si="1"/>
        <v>114.01852578400022</v>
      </c>
      <c r="M17" s="25">
        <f t="shared" si="2"/>
        <v>289</v>
      </c>
      <c r="N17" s="25">
        <f>MAX(1,ROUND(M17*ตั้งค่า!$C$26*(1-ตั้งค่า!$C$27),0))</f>
        <v>116</v>
      </c>
      <c r="O17" s="25">
        <f>MAX(1,ROUND(M17*ตั้งค่า!$C$26*(1+ตั้งค่า!$C$27),0))</f>
        <v>173</v>
      </c>
      <c r="P17" s="25">
        <f t="shared" si="3"/>
        <v>115</v>
      </c>
      <c r="Q17" s="27">
        <f t="shared" si="4"/>
        <v>13.033333333333333</v>
      </c>
      <c r="R17" s="26">
        <f t="shared" si="6"/>
        <v>0.9161111111111111</v>
      </c>
    </row>
    <row r="18" spans="1:18">
      <c r="A18" s="3">
        <v>14</v>
      </c>
      <c r="B18" s="25">
        <f>ROUND(ตั้งค่า!$C$24*A18^ตั้งค่า!$C$25,0)</f>
        <v>41160</v>
      </c>
      <c r="C18" s="25">
        <f t="shared" si="5"/>
        <v>124215</v>
      </c>
      <c r="D18" s="26">
        <f>ROUND((ตั้งค่า!$C$12+ตั้งค่า!$C$13*A18)*(1+ตั้งค่า!$C$14)^(A18-1),1)</f>
        <v>49.2</v>
      </c>
      <c r="E18" s="25">
        <f>ROUND((ตั้งค่า!$C$15+ตั้งค่า!$C$16*A18)*(1+ตั้งค่า!$C$17)^(A18-1),0)</f>
        <v>279</v>
      </c>
      <c r="F18" s="25">
        <f>ROUND(D18*ตั้งค่า!$C$22,0)</f>
        <v>2</v>
      </c>
      <c r="G18" s="26">
        <f t="shared" si="0"/>
        <v>47.2</v>
      </c>
      <c r="H18" s="25">
        <f>ROUND(ตั้งค่า!$C$20*G18,0)</f>
        <v>189</v>
      </c>
      <c r="I18" s="25">
        <f>MAX(1,ROUND(E18/ตั้งค่า!$C$23,0))</f>
        <v>23</v>
      </c>
      <c r="J18" s="27">
        <f>ตั้งค่า!$C$20*ตั้งค่า!$C$18+ตั้งค่า!$C$21</f>
        <v>6.8</v>
      </c>
      <c r="K18" s="27">
        <f>ตั้งค่า!$C$10*A18^ตั้งค่า!$C$8+ตั้งค่า!$C$9</f>
        <v>14.890719049794427</v>
      </c>
      <c r="L18" s="25">
        <f t="shared" si="1"/>
        <v>131.38869749818613</v>
      </c>
      <c r="M18" s="25">
        <f t="shared" si="2"/>
        <v>313</v>
      </c>
      <c r="N18" s="25">
        <f>MAX(1,ROUND(M18*ตั้งค่า!$C$26*(1-ตั้งค่า!$C$27),0))</f>
        <v>125</v>
      </c>
      <c r="O18" s="25">
        <f>MAX(1,ROUND(M18*ตั้งค่า!$C$26*(1+ตั้งค่า!$C$27),0))</f>
        <v>188</v>
      </c>
      <c r="P18" s="25">
        <f t="shared" si="3"/>
        <v>132</v>
      </c>
      <c r="Q18" s="27">
        <f t="shared" si="4"/>
        <v>14.96</v>
      </c>
      <c r="R18" s="26">
        <f t="shared" si="6"/>
        <v>1.1333333333333333</v>
      </c>
    </row>
    <row r="19" spans="1:18">
      <c r="A19" s="3">
        <v>15</v>
      </c>
      <c r="B19" s="25">
        <f>ROUND(ตั้งค่า!$C$24*A19^ตั้งค่า!$C$25,0)</f>
        <v>50625</v>
      </c>
      <c r="C19" s="25">
        <f t="shared" si="5"/>
        <v>165375</v>
      </c>
      <c r="D19" s="26">
        <f>ROUND((ตั้งค่า!$C$12+ตั้งค่า!$C$13*A19)*(1+ตั้งค่า!$C$14)^(A19-1),1)</f>
        <v>52.8</v>
      </c>
      <c r="E19" s="25">
        <f>ROUND((ตั้งค่า!$C$15+ตั้งค่า!$C$16*A19)*(1+ตั้งค่า!$C$17)^(A19-1),0)</f>
        <v>296</v>
      </c>
      <c r="F19" s="25">
        <f>ROUND(D19*ตั้งค่า!$C$22,0)</f>
        <v>3</v>
      </c>
      <c r="G19" s="26">
        <f t="shared" si="0"/>
        <v>49.8</v>
      </c>
      <c r="H19" s="25">
        <f>ROUND(ตั้งค่า!$C$20*G19,0)</f>
        <v>199</v>
      </c>
      <c r="I19" s="25">
        <f>MAX(1,ROUND(E19/ตั้งค่า!$C$23,0))</f>
        <v>25</v>
      </c>
      <c r="J19" s="27">
        <f>ตั้งค่า!$C$20*ตั้งค่า!$C$18+ตั้งค่า!$C$21</f>
        <v>6.8</v>
      </c>
      <c r="K19" s="27">
        <f>ตั้งค่า!$C$10*A19^ตั้งค่า!$C$8+ตั้งค่า!$C$9</f>
        <v>17.005162174508911</v>
      </c>
      <c r="L19" s="25">
        <f t="shared" si="1"/>
        <v>150.04554859860804</v>
      </c>
      <c r="M19" s="25">
        <f t="shared" si="2"/>
        <v>337</v>
      </c>
      <c r="N19" s="25">
        <f>MAX(1,ROUND(M19*ตั้งค่า!$C$26*(1-ตั้งค่า!$C$27),0))</f>
        <v>135</v>
      </c>
      <c r="O19" s="25">
        <f>MAX(1,ROUND(M19*ตั้งค่า!$C$26*(1+ตั้งค่า!$C$27),0))</f>
        <v>202</v>
      </c>
      <c r="P19" s="25">
        <f t="shared" si="3"/>
        <v>151</v>
      </c>
      <c r="Q19" s="27">
        <f t="shared" si="4"/>
        <v>17.113333333333333</v>
      </c>
      <c r="R19" s="26">
        <f t="shared" si="6"/>
        <v>1.3826666666666667</v>
      </c>
    </row>
    <row r="20" spans="1:18">
      <c r="A20" s="3">
        <v>16</v>
      </c>
      <c r="B20" s="25">
        <f>ROUND(ตั้งค่า!$C$24*A20^ตั้งค่า!$C$25,0)</f>
        <v>61440</v>
      </c>
      <c r="C20" s="25">
        <f t="shared" si="5"/>
        <v>216000</v>
      </c>
      <c r="D20" s="26">
        <f>ROUND((ตั้งค่า!$C$12+ตั้งค่า!$C$13*A20)*(1+ตั้งค่า!$C$14)^(A20-1),1)</f>
        <v>56.5</v>
      </c>
      <c r="E20" s="25">
        <f>ROUND((ตั้งค่า!$C$15+ตั้งค่า!$C$16*A20)*(1+ตั้งค่า!$C$17)^(A20-1),0)</f>
        <v>313</v>
      </c>
      <c r="F20" s="25">
        <f>ROUND(D20*ตั้งค่า!$C$22,0)</f>
        <v>3</v>
      </c>
      <c r="G20" s="26">
        <f t="shared" si="0"/>
        <v>53.5</v>
      </c>
      <c r="H20" s="25">
        <f>ROUND(ตั้งค่า!$C$20*G20,0)</f>
        <v>214</v>
      </c>
      <c r="I20" s="25">
        <f>MAX(1,ROUND(E20/ตั้งค่า!$C$23,0))</f>
        <v>26</v>
      </c>
      <c r="J20" s="27">
        <f>ตั้งค่า!$C$20*ตั้งค่า!$C$18+ตั้งค่า!$C$21</f>
        <v>6.8</v>
      </c>
      <c r="K20" s="27">
        <f>ตั้งค่า!$C$10*A20^ตั้งค่า!$C$8+ตั้งค่า!$C$9</f>
        <v>19.265428962996804</v>
      </c>
      <c r="L20" s="25">
        <f t="shared" si="1"/>
        <v>169.98907908526593</v>
      </c>
      <c r="M20" s="25">
        <f t="shared" si="2"/>
        <v>361</v>
      </c>
      <c r="N20" s="25">
        <f>MAX(1,ROUND(M20*ตั้งค่า!$C$26*(1-ตั้งค่า!$C$27),0))</f>
        <v>144</v>
      </c>
      <c r="O20" s="25">
        <f>MAX(1,ROUND(M20*ตั้งค่า!$C$26*(1+ตั้งค่า!$C$27),0))</f>
        <v>217</v>
      </c>
      <c r="P20" s="25">
        <f t="shared" si="3"/>
        <v>171</v>
      </c>
      <c r="Q20" s="27">
        <f t="shared" si="4"/>
        <v>19.38</v>
      </c>
      <c r="R20" s="26">
        <f t="shared" si="6"/>
        <v>1.667888888888889</v>
      </c>
    </row>
    <row r="21" spans="1:18">
      <c r="A21" s="3">
        <v>17</v>
      </c>
      <c r="B21" s="25">
        <f>ROUND(ตั้งค่า!$C$24*A21^ตั้งค่า!$C$25,0)</f>
        <v>73695</v>
      </c>
      <c r="C21" s="25">
        <f t="shared" si="5"/>
        <v>277440</v>
      </c>
      <c r="D21" s="26">
        <f>ROUND((ตั้งค่า!$C$12+ตั้งค่า!$C$13*A21)*(1+ตั้งค่า!$C$14)^(A21-1),1)</f>
        <v>60.4</v>
      </c>
      <c r="E21" s="25">
        <f>ROUND((ตั้งค่า!$C$15+ตั้งค่า!$C$16*A21)*(1+ตั้งค่า!$C$17)^(A21-1),0)</f>
        <v>330</v>
      </c>
      <c r="F21" s="25">
        <f>ROUND(D21*ตั้งค่า!$C$22,0)</f>
        <v>3</v>
      </c>
      <c r="G21" s="26">
        <f t="shared" si="0"/>
        <v>57.4</v>
      </c>
      <c r="H21" s="25">
        <f>ROUND(ตั้งค่า!$C$20*G21,0)</f>
        <v>230</v>
      </c>
      <c r="I21" s="25">
        <f>MAX(1,ROUND(E21/ตั้งค่า!$C$23,0))</f>
        <v>28</v>
      </c>
      <c r="J21" s="27">
        <f>ตั้งค่า!$C$20*ตั้งค่า!$C$18+ตั้งค่า!$C$21</f>
        <v>6.8</v>
      </c>
      <c r="K21" s="27">
        <f>ตั้งค่า!$C$10*A21^ตั้งค่า!$C$8+ตั้งค่า!$C$9</f>
        <v>21.671519415258111</v>
      </c>
      <c r="L21" s="25">
        <f t="shared" si="1"/>
        <v>191.21928895815981</v>
      </c>
      <c r="M21" s="25">
        <f t="shared" si="2"/>
        <v>385</v>
      </c>
      <c r="N21" s="25">
        <f>MAX(1,ROUND(M21*ตั้งค่า!$C$26*(1-ตั้งค่า!$C$27),0))</f>
        <v>154</v>
      </c>
      <c r="O21" s="25">
        <f>MAX(1,ROUND(M21*ตั้งค่า!$C$26*(1+ตั้งค่า!$C$27),0))</f>
        <v>231</v>
      </c>
      <c r="P21" s="25">
        <f t="shared" si="3"/>
        <v>192</v>
      </c>
      <c r="Q21" s="27">
        <f t="shared" si="4"/>
        <v>21.759999999999998</v>
      </c>
      <c r="R21" s="26">
        <f t="shared" si="6"/>
        <v>1.9908888888888889</v>
      </c>
    </row>
    <row r="22" spans="1:18">
      <c r="A22" s="3">
        <v>18</v>
      </c>
      <c r="B22" s="25">
        <f>ROUND(ตั้งค่า!$C$24*A22^ตั้งค่า!$C$25,0)</f>
        <v>87480</v>
      </c>
      <c r="C22" s="25">
        <f t="shared" si="5"/>
        <v>351135</v>
      </c>
      <c r="D22" s="26">
        <f>ROUND((ตั้งค่า!$C$12+ตั้งค่า!$C$13*A22)*(1+ตั้งค่า!$C$14)^(A22-1),1)</f>
        <v>64.400000000000006</v>
      </c>
      <c r="E22" s="25">
        <f>ROUND((ตั้งค่า!$C$15+ตั้งค่า!$C$16*A22)*(1+ตั้งค่า!$C$17)^(A22-1),0)</f>
        <v>348</v>
      </c>
      <c r="F22" s="25">
        <f>ROUND(D22*ตั้งค่า!$C$22,0)</f>
        <v>3</v>
      </c>
      <c r="G22" s="26">
        <f t="shared" si="0"/>
        <v>61.400000000000006</v>
      </c>
      <c r="H22" s="25">
        <f>ROUND(ตั้งค่า!$C$20*G22,0)</f>
        <v>246</v>
      </c>
      <c r="I22" s="25">
        <f>MAX(1,ROUND(E22/ตั้งค่า!$C$23,0))</f>
        <v>29</v>
      </c>
      <c r="J22" s="27">
        <f>ตั้งค่า!$C$20*ตั้งค่า!$C$18+ตั้งค่า!$C$21</f>
        <v>6.8</v>
      </c>
      <c r="K22" s="27">
        <f>ตั้งค่า!$C$10*A22^ตั้งค่า!$C$8+ตั้งค่า!$C$9</f>
        <v>24.22343353129283</v>
      </c>
      <c r="L22" s="25">
        <f t="shared" si="1"/>
        <v>213.73617821728971</v>
      </c>
      <c r="M22" s="25">
        <f t="shared" si="2"/>
        <v>409</v>
      </c>
      <c r="N22" s="25">
        <f>MAX(1,ROUND(M22*ตั้งค่า!$C$26*(1-ตั้งค่า!$C$27),0))</f>
        <v>164</v>
      </c>
      <c r="O22" s="25">
        <f>MAX(1,ROUND(M22*ตั้งค่า!$C$26*(1+ตั้งค่า!$C$27),0))</f>
        <v>245</v>
      </c>
      <c r="P22" s="25">
        <f t="shared" si="3"/>
        <v>214</v>
      </c>
      <c r="Q22" s="27">
        <f t="shared" si="4"/>
        <v>24.253333333333334</v>
      </c>
      <c r="R22" s="26">
        <f t="shared" si="6"/>
        <v>2.3535555555555554</v>
      </c>
    </row>
    <row r="23" spans="1:18">
      <c r="A23" s="3">
        <v>19</v>
      </c>
      <c r="B23" s="25">
        <f>ROUND(ตั้งค่า!$C$24*A23^ตั้งค่า!$C$25,0)</f>
        <v>102885</v>
      </c>
      <c r="C23" s="25">
        <f t="shared" si="5"/>
        <v>438615</v>
      </c>
      <c r="D23" s="26">
        <f>ROUND((ตั้งค่า!$C$12+ตั้งค่า!$C$13*A23)*(1+ตั้งค่า!$C$14)^(A23-1),1)</f>
        <v>68.599999999999994</v>
      </c>
      <c r="E23" s="25">
        <f>ROUND((ตั้งค่า!$C$15+ตั้งค่า!$C$16*A23)*(1+ตั้งค่า!$C$17)^(A23-1),0)</f>
        <v>366</v>
      </c>
      <c r="F23" s="25">
        <f>ROUND(D23*ตั้งค่า!$C$22,0)</f>
        <v>3</v>
      </c>
      <c r="G23" s="26">
        <f t="shared" si="0"/>
        <v>65.599999999999994</v>
      </c>
      <c r="H23" s="25">
        <f>ROUND(ตั้งค่า!$C$20*G23,0)</f>
        <v>262</v>
      </c>
      <c r="I23" s="25">
        <f>MAX(1,ROUND(E23/ตั้งค่า!$C$23,0))</f>
        <v>31</v>
      </c>
      <c r="J23" s="27">
        <f>ตั้งค่า!$C$20*ตั้งค่า!$C$18+ตั้งค่า!$C$21</f>
        <v>6.8</v>
      </c>
      <c r="K23" s="27">
        <f>ตั้งค่า!$C$10*A23^ตั้งค่า!$C$8+ตั้งค่า!$C$9</f>
        <v>26.921171311100963</v>
      </c>
      <c r="L23" s="25">
        <f t="shared" si="1"/>
        <v>237.53974686265556</v>
      </c>
      <c r="M23" s="25">
        <f t="shared" si="2"/>
        <v>433</v>
      </c>
      <c r="N23" s="25">
        <f>MAX(1,ROUND(M23*ตั้งค่า!$C$26*(1-ตั้งค่า!$C$27),0))</f>
        <v>173</v>
      </c>
      <c r="O23" s="25">
        <f>MAX(1,ROUND(M23*ตั้งค่า!$C$26*(1+ตั้งค่า!$C$27),0))</f>
        <v>260</v>
      </c>
      <c r="P23" s="25">
        <f t="shared" si="3"/>
        <v>238</v>
      </c>
      <c r="Q23" s="27">
        <f t="shared" si="4"/>
        <v>26.973333333333333</v>
      </c>
      <c r="R23" s="26">
        <f t="shared" si="6"/>
        <v>2.7577777777777777</v>
      </c>
    </row>
    <row r="24" spans="1:18">
      <c r="A24" s="3">
        <v>20</v>
      </c>
      <c r="B24" s="25">
        <f>ROUND(ตั้งค่า!$C$24*A24^ตั้งค่า!$C$25,0)</f>
        <v>120000</v>
      </c>
      <c r="C24" s="25">
        <f t="shared" si="5"/>
        <v>541500</v>
      </c>
      <c r="D24" s="26">
        <f>ROUND((ตั้งค่า!$C$12+ตั้งค่า!$C$13*A24)*(1+ตั้งค่า!$C$14)^(A24-1),1)</f>
        <v>72.8</v>
      </c>
      <c r="E24" s="25">
        <f>ROUND((ตั้งค่า!$C$15+ตั้งค่า!$C$16*A24)*(1+ตั้งค่า!$C$17)^(A24-1),0)</f>
        <v>385</v>
      </c>
      <c r="F24" s="25">
        <f>ROUND(D24*ตั้งค่า!$C$22,0)</f>
        <v>4</v>
      </c>
      <c r="G24" s="26">
        <f t="shared" si="0"/>
        <v>68.8</v>
      </c>
      <c r="H24" s="25">
        <f>ROUND(ตั้งค่า!$C$20*G24,0)</f>
        <v>275</v>
      </c>
      <c r="I24" s="25">
        <f>MAX(1,ROUND(E24/ตั้งค่า!$C$23,0))</f>
        <v>32</v>
      </c>
      <c r="J24" s="27">
        <f>ตั้งค่า!$C$20*ตั้งค่า!$C$18+ตั้งค่า!$C$21</f>
        <v>6.8</v>
      </c>
      <c r="K24" s="27">
        <f>ตั้งค่า!$C$10*A24^ตั้งค่า!$C$8+ตั้งค่า!$C$9</f>
        <v>29.764732754682505</v>
      </c>
      <c r="L24" s="25">
        <f t="shared" si="1"/>
        <v>262.62999489425744</v>
      </c>
      <c r="M24" s="25">
        <f t="shared" si="2"/>
        <v>457</v>
      </c>
      <c r="N24" s="25">
        <f>MAX(1,ROUND(M24*ตั้งค่า!$C$26*(1-ตั้งค่า!$C$27),0))</f>
        <v>183</v>
      </c>
      <c r="O24" s="25">
        <f>MAX(1,ROUND(M24*ตั้งค่า!$C$26*(1+ตั้งค่า!$C$27),0))</f>
        <v>274</v>
      </c>
      <c r="P24" s="25">
        <f t="shared" si="3"/>
        <v>263</v>
      </c>
      <c r="Q24" s="27">
        <f t="shared" si="4"/>
        <v>29.806666666666665</v>
      </c>
      <c r="R24" s="26">
        <f t="shared" si="6"/>
        <v>3.2073333333333331</v>
      </c>
    </row>
    <row r="25" spans="1:18">
      <c r="A25" s="3">
        <v>21</v>
      </c>
      <c r="B25" s="25">
        <f>ROUND(ตั้งค่า!$C$24*A25^ตั้งค่า!$C$25,0)</f>
        <v>138915</v>
      </c>
      <c r="C25" s="25">
        <f t="shared" si="5"/>
        <v>661500</v>
      </c>
      <c r="D25" s="26">
        <f>ROUND((ตั้งค่า!$C$12+ตั้งค่า!$C$13*A25)*(1+ตั้งค่า!$C$14)^(A25-1),1)</f>
        <v>77.3</v>
      </c>
      <c r="E25" s="25">
        <f>ROUND((ตั้งค่า!$C$15+ตั้งค่า!$C$16*A25)*(1+ตั้งค่า!$C$17)^(A25-1),0)</f>
        <v>404</v>
      </c>
      <c r="F25" s="25">
        <f>ROUND(D25*ตั้งค่า!$C$22,0)</f>
        <v>4</v>
      </c>
      <c r="G25" s="26">
        <f t="shared" si="0"/>
        <v>73.3</v>
      </c>
      <c r="H25" s="25">
        <f>ROUND(ตั้งค่า!$C$20*G25,0)</f>
        <v>293</v>
      </c>
      <c r="I25" s="25">
        <f>MAX(1,ROUND(E25/ตั้งค่า!$C$23,0))</f>
        <v>34</v>
      </c>
      <c r="J25" s="27">
        <f>ตั้งค่า!$C$20*ตั้งค่า!$C$18+ตั้งค่า!$C$21</f>
        <v>6.8</v>
      </c>
      <c r="K25" s="27">
        <f>ตั้งค่า!$C$10*A25^ตั้งค่า!$C$8+ตั้งค่า!$C$9</f>
        <v>32.754117862037461</v>
      </c>
      <c r="L25" s="25">
        <f t="shared" si="1"/>
        <v>289.00692231209524</v>
      </c>
      <c r="M25" s="25">
        <f t="shared" si="2"/>
        <v>481</v>
      </c>
      <c r="N25" s="25">
        <f>MAX(1,ROUND(M25*ตั้งค่า!$C$26*(1-ตั้งค่า!$C$27),0))</f>
        <v>192</v>
      </c>
      <c r="O25" s="25">
        <f>MAX(1,ROUND(M25*ตั้งค่า!$C$26*(1+ตั้งค่า!$C$27),0))</f>
        <v>289</v>
      </c>
      <c r="P25" s="25">
        <f t="shared" si="3"/>
        <v>289</v>
      </c>
      <c r="Q25" s="27">
        <f t="shared" si="4"/>
        <v>32.753333333333337</v>
      </c>
      <c r="R25" s="26">
        <f t="shared" si="6"/>
        <v>3.7041111111111107</v>
      </c>
    </row>
    <row r="26" spans="1:18">
      <c r="A26" s="3">
        <v>22</v>
      </c>
      <c r="B26" s="25">
        <f>ROUND(ตั้งค่า!$C$24*A26^ตั้งค่า!$C$25,0)</f>
        <v>159720</v>
      </c>
      <c r="C26" s="25">
        <f t="shared" si="5"/>
        <v>800415</v>
      </c>
      <c r="D26" s="26">
        <f>ROUND((ตั้งค่า!$C$12+ตั้งค่า!$C$13*A26)*(1+ตั้งค่า!$C$14)^(A26-1),1)</f>
        <v>81.8</v>
      </c>
      <c r="E26" s="25">
        <f>ROUND((ตั้งค่า!$C$15+ตั้งค่า!$C$16*A26)*(1+ตั้งค่า!$C$17)^(A26-1),0)</f>
        <v>424</v>
      </c>
      <c r="F26" s="25">
        <f>ROUND(D26*ตั้งค่า!$C$22,0)</f>
        <v>4</v>
      </c>
      <c r="G26" s="26">
        <f t="shared" si="0"/>
        <v>77.8</v>
      </c>
      <c r="H26" s="25">
        <f>ROUND(ตั้งค่า!$C$20*G26,0)</f>
        <v>311</v>
      </c>
      <c r="I26" s="25">
        <f>MAX(1,ROUND(E26/ตั้งค่า!$C$23,0))</f>
        <v>35</v>
      </c>
      <c r="J26" s="27">
        <f>ตั้งค่า!$C$20*ตั้งค่า!$C$18+ตั้งค่า!$C$21</f>
        <v>6.8</v>
      </c>
      <c r="K26" s="27">
        <f>ตั้งค่า!$C$10*A26^ตั้งค่า!$C$8+ตั้งค่า!$C$9</f>
        <v>35.88932663316583</v>
      </c>
      <c r="L26" s="25">
        <f t="shared" si="1"/>
        <v>316.67052911616906</v>
      </c>
      <c r="M26" s="25">
        <f t="shared" si="2"/>
        <v>504</v>
      </c>
      <c r="N26" s="25">
        <f>MAX(1,ROUND(M26*ตั้งค่า!$C$26*(1-ตั้งค่า!$C$27),0))</f>
        <v>202</v>
      </c>
      <c r="O26" s="25">
        <f>MAX(1,ROUND(M26*ตั้งค่า!$C$26*(1+ตั้งค่า!$C$27),0))</f>
        <v>302</v>
      </c>
      <c r="P26" s="25">
        <f t="shared" si="3"/>
        <v>317</v>
      </c>
      <c r="Q26" s="27">
        <f t="shared" si="4"/>
        <v>35.926666666666662</v>
      </c>
      <c r="R26" s="26">
        <f t="shared" si="6"/>
        <v>4.25</v>
      </c>
    </row>
    <row r="27" spans="1:18">
      <c r="A27" s="3">
        <v>23</v>
      </c>
      <c r="B27" s="25">
        <f>ROUND(ตั้งค่า!$C$24*A27^ตั้งค่า!$C$25,0)</f>
        <v>182505</v>
      </c>
      <c r="C27" s="25">
        <f t="shared" si="5"/>
        <v>960135</v>
      </c>
      <c r="D27" s="26">
        <f>ROUND((ตั้งค่า!$C$12+ตั้งค่า!$C$13*A27)*(1+ตั้งค่า!$C$14)^(A27-1),1)</f>
        <v>86.6</v>
      </c>
      <c r="E27" s="25">
        <f>ROUND((ตั้งค่า!$C$15+ตั้งค่า!$C$16*A27)*(1+ตั้งค่า!$C$17)^(A27-1),0)</f>
        <v>444</v>
      </c>
      <c r="F27" s="25">
        <f>ROUND(D27*ตั้งค่า!$C$22,0)</f>
        <v>4</v>
      </c>
      <c r="G27" s="26">
        <f t="shared" si="0"/>
        <v>82.6</v>
      </c>
      <c r="H27" s="25">
        <f>ROUND(ตั้งค่า!$C$20*G27,0)</f>
        <v>330</v>
      </c>
      <c r="I27" s="25">
        <f>MAX(1,ROUND(E27/ตั้งค่า!$C$23,0))</f>
        <v>37</v>
      </c>
      <c r="J27" s="27">
        <f>ตั้งค่า!$C$20*ตั้งค่า!$C$18+ตั้งค่า!$C$21</f>
        <v>6.8</v>
      </c>
      <c r="K27" s="27">
        <f>ตั้งค่า!$C$10*A27^ตั้งค่า!$C$8+ตั้งค่า!$C$9</f>
        <v>39.170359068067611</v>
      </c>
      <c r="L27" s="25">
        <f t="shared" si="1"/>
        <v>345.62081530647896</v>
      </c>
      <c r="M27" s="25">
        <f t="shared" si="2"/>
        <v>528</v>
      </c>
      <c r="N27" s="25">
        <f>MAX(1,ROUND(M27*ตั้งค่า!$C$26*(1-ตั้งค่า!$C$27),0))</f>
        <v>211</v>
      </c>
      <c r="O27" s="25">
        <f>MAX(1,ROUND(M27*ตั้งค่า!$C$26*(1+ตั้งค่า!$C$27),0))</f>
        <v>317</v>
      </c>
      <c r="P27" s="25">
        <f t="shared" si="3"/>
        <v>346</v>
      </c>
      <c r="Q27" s="27">
        <f t="shared" si="4"/>
        <v>39.213333333333331</v>
      </c>
      <c r="R27" s="26">
        <f t="shared" si="6"/>
        <v>4.8487777777777774</v>
      </c>
    </row>
    <row r="28" spans="1:18">
      <c r="A28" s="3">
        <v>24</v>
      </c>
      <c r="B28" s="25">
        <f>ROUND(ตั้งค่า!$C$24*A28^ตั้งค่า!$C$25,0)</f>
        <v>207360</v>
      </c>
      <c r="C28" s="25">
        <f t="shared" si="5"/>
        <v>1142640</v>
      </c>
      <c r="D28" s="26">
        <f>ROUND((ตั้งค่า!$C$12+ตั้งค่า!$C$13*A28)*(1+ตั้งค่า!$C$14)^(A28-1),1)</f>
        <v>91.5</v>
      </c>
      <c r="E28" s="25">
        <f>ROUND((ตั้งค่า!$C$15+ตั้งค่า!$C$16*A28)*(1+ตั้งค่า!$C$17)^(A28-1),0)</f>
        <v>465</v>
      </c>
      <c r="F28" s="25">
        <f>ROUND(D28*ตั้งค่า!$C$22,0)</f>
        <v>5</v>
      </c>
      <c r="G28" s="26">
        <f t="shared" si="0"/>
        <v>86.5</v>
      </c>
      <c r="H28" s="25">
        <f>ROUND(ตั้งค่า!$C$20*G28,0)</f>
        <v>346</v>
      </c>
      <c r="I28" s="25">
        <f>MAX(1,ROUND(E28/ตั้งค่า!$C$23,0))</f>
        <v>39</v>
      </c>
      <c r="J28" s="27">
        <f>ตั้งค่า!$C$20*ตั้งค่า!$C$18+ตั้งค่า!$C$21</f>
        <v>6.8</v>
      </c>
      <c r="K28" s="27">
        <f>ตั้งค่า!$C$10*A28^ตั้งค่า!$C$8+ตั้งค่า!$C$9</f>
        <v>42.597215166742807</v>
      </c>
      <c r="L28" s="25">
        <f t="shared" si="1"/>
        <v>375.85778088302476</v>
      </c>
      <c r="M28" s="25">
        <f t="shared" si="2"/>
        <v>552</v>
      </c>
      <c r="N28" s="25">
        <f>MAX(1,ROUND(M28*ตั้งค่า!$C$26*(1-ตั้งค่า!$C$27),0))</f>
        <v>221</v>
      </c>
      <c r="O28" s="25">
        <f>MAX(1,ROUND(M28*ตั้งค่า!$C$26*(1+ตั้งค่า!$C$27),0))</f>
        <v>331</v>
      </c>
      <c r="P28" s="25">
        <f t="shared" si="3"/>
        <v>376</v>
      </c>
      <c r="Q28" s="27">
        <f t="shared" si="4"/>
        <v>42.61333333333333</v>
      </c>
      <c r="R28" s="26">
        <f t="shared" si="6"/>
        <v>5.5023333333333326</v>
      </c>
    </row>
    <row r="29" spans="1:18">
      <c r="A29" s="3">
        <v>25</v>
      </c>
      <c r="B29" s="25">
        <f>ROUND(ตั้งค่า!$C$24*A29^ตั้งค่า!$C$25,0)</f>
        <v>234375</v>
      </c>
      <c r="C29" s="25">
        <f t="shared" si="5"/>
        <v>1350000</v>
      </c>
      <c r="D29" s="26">
        <f>ROUND((ตั้งค่า!$C$12+ตั้งค่า!$C$13*A29)*(1+ตั้งค่า!$C$14)^(A29-1),1)</f>
        <v>96.5</v>
      </c>
      <c r="E29" s="25">
        <f>ROUND((ตั้งค่า!$C$15+ตั้งค่า!$C$16*A29)*(1+ตั้งค่า!$C$17)^(A29-1),0)</f>
        <v>486</v>
      </c>
      <c r="F29" s="25">
        <f>ROUND(D29*ตั้งค่า!$C$22,0)</f>
        <v>5</v>
      </c>
      <c r="G29" s="26">
        <f t="shared" si="0"/>
        <v>91.5</v>
      </c>
      <c r="H29" s="25">
        <f>ROUND(ตั้งค่า!$C$20*G29,0)</f>
        <v>366</v>
      </c>
      <c r="I29" s="25">
        <f>MAX(1,ROUND(E29/ตั้งค่า!$C$23,0))</f>
        <v>41</v>
      </c>
      <c r="J29" s="27">
        <f>ตั้งค่า!$C$20*ตั้งค่า!$C$18+ตั้งค่า!$C$21</f>
        <v>6.8</v>
      </c>
      <c r="K29" s="27">
        <f>ตั้งค่า!$C$10*A29^ตั้งค่า!$C$8+ตั้งค่า!$C$9</f>
        <v>46.169894929191415</v>
      </c>
      <c r="L29" s="25">
        <f t="shared" si="1"/>
        <v>407.38142584580663</v>
      </c>
      <c r="M29" s="25">
        <f t="shared" si="2"/>
        <v>575</v>
      </c>
      <c r="N29" s="25">
        <f>MAX(1,ROUND(M29*ตั้งค่า!$C$26*(1-ตั้งค่า!$C$27),0))</f>
        <v>230</v>
      </c>
      <c r="O29" s="25">
        <f>MAX(1,ROUND(M29*ตั้งค่า!$C$26*(1+ตั้งค่า!$C$27),0))</f>
        <v>345</v>
      </c>
      <c r="P29" s="25">
        <f t="shared" si="3"/>
        <v>408</v>
      </c>
      <c r="Q29" s="27">
        <f t="shared" si="4"/>
        <v>46.24</v>
      </c>
      <c r="R29" s="26">
        <f t="shared" si="6"/>
        <v>6.2125555555555545</v>
      </c>
    </row>
    <row r="30" spans="1:18">
      <c r="A30" s="3">
        <v>26</v>
      </c>
      <c r="B30" s="25">
        <f>ROUND(ตั้งค่า!$C$24*A30^ตั้งค่า!$C$25,0)</f>
        <v>263640</v>
      </c>
      <c r="C30" s="25">
        <f t="shared" si="5"/>
        <v>1584375</v>
      </c>
      <c r="D30" s="26">
        <f>ROUND((ตั้งค่า!$C$12+ตั้งค่า!$C$13*A30)*(1+ตั้งค่า!$C$14)^(A30-1),1)</f>
        <v>101.7</v>
      </c>
      <c r="E30" s="25">
        <f>ROUND((ตั้งค่า!$C$15+ตั้งค่า!$C$16*A30)*(1+ตั้งค่า!$C$17)^(A30-1),0)</f>
        <v>508</v>
      </c>
      <c r="F30" s="25">
        <f>ROUND(D30*ตั้งค่า!$C$22,0)</f>
        <v>5</v>
      </c>
      <c r="G30" s="26">
        <f t="shared" si="0"/>
        <v>96.7</v>
      </c>
      <c r="H30" s="25">
        <f>ROUND(ตั้งค่า!$C$20*G30,0)</f>
        <v>387</v>
      </c>
      <c r="I30" s="25">
        <f>MAX(1,ROUND(E30/ตั้งค่า!$C$23,0))</f>
        <v>42</v>
      </c>
      <c r="J30" s="27">
        <f>ตั้งค่า!$C$20*ตั้งค่า!$C$18+ตั้งค่า!$C$21</f>
        <v>6.8</v>
      </c>
      <c r="K30" s="27">
        <f>ตั้งค่า!$C$10*A30^ตั้งค่า!$C$8+ตั้งค่า!$C$9</f>
        <v>49.888398355413436</v>
      </c>
      <c r="L30" s="25">
        <f t="shared" si="1"/>
        <v>440.19175019482446</v>
      </c>
      <c r="M30" s="25">
        <f t="shared" si="2"/>
        <v>599</v>
      </c>
      <c r="N30" s="25">
        <f>MAX(1,ROUND(M30*ตั้งค่า!$C$26*(1-ตั้งค่า!$C$27),0))</f>
        <v>240</v>
      </c>
      <c r="O30" s="25">
        <f>MAX(1,ROUND(M30*ตั้งค่า!$C$26*(1+ตั้งค่า!$C$27),0))</f>
        <v>359</v>
      </c>
      <c r="P30" s="25">
        <f t="shared" si="3"/>
        <v>441</v>
      </c>
      <c r="Q30" s="27">
        <f t="shared" si="4"/>
        <v>49.98</v>
      </c>
      <c r="R30" s="26">
        <f t="shared" si="6"/>
        <v>6.9832222222222216</v>
      </c>
    </row>
    <row r="31" spans="1:18">
      <c r="A31" s="3">
        <v>27</v>
      </c>
      <c r="B31" s="25">
        <f>ROUND(ตั้งค่า!$C$24*A31^ตั้งค่า!$C$25,0)</f>
        <v>295245</v>
      </c>
      <c r="C31" s="25">
        <f t="shared" si="5"/>
        <v>1848015</v>
      </c>
      <c r="D31" s="26">
        <f>ROUND((ตั้งค่า!$C$12+ตั้งค่า!$C$13*A31)*(1+ตั้งค่า!$C$14)^(A31-1),1)</f>
        <v>107.1</v>
      </c>
      <c r="E31" s="25">
        <f>ROUND((ตั้งค่า!$C$15+ตั้งค่า!$C$16*A31)*(1+ตั้งค่า!$C$17)^(A31-1),0)</f>
        <v>530</v>
      </c>
      <c r="F31" s="25">
        <f>ROUND(D31*ตั้งค่า!$C$22,0)</f>
        <v>5</v>
      </c>
      <c r="G31" s="26">
        <f t="shared" si="0"/>
        <v>102.1</v>
      </c>
      <c r="H31" s="25">
        <f>ROUND(ตั้งค่า!$C$20*G31,0)</f>
        <v>408</v>
      </c>
      <c r="I31" s="25">
        <f>MAX(1,ROUND(E31/ตั้งค่า!$C$23,0))</f>
        <v>44</v>
      </c>
      <c r="J31" s="27">
        <f>ตั้งค่า!$C$20*ตั้งค่า!$C$18+ตั้งค่า!$C$21</f>
        <v>6.8</v>
      </c>
      <c r="K31" s="27">
        <f>ตั้งค่า!$C$10*A31^ตั้งค่า!$C$8+ตั้งค่า!$C$9</f>
        <v>53.752725445408863</v>
      </c>
      <c r="L31" s="25">
        <f t="shared" si="1"/>
        <v>474.28875393007826</v>
      </c>
      <c r="M31" s="25">
        <f t="shared" si="2"/>
        <v>623</v>
      </c>
      <c r="N31" s="25">
        <f>MAX(1,ROUND(M31*ตั้งค่า!$C$26*(1-ตั้งค่า!$C$27),0))</f>
        <v>249</v>
      </c>
      <c r="O31" s="25">
        <f>MAX(1,ROUND(M31*ตั้งค่า!$C$26*(1+ตั้งค่า!$C$27),0))</f>
        <v>374</v>
      </c>
      <c r="P31" s="25">
        <f t="shared" si="3"/>
        <v>474</v>
      </c>
      <c r="Q31" s="27">
        <f t="shared" si="4"/>
        <v>53.72</v>
      </c>
      <c r="R31" s="26">
        <f t="shared" si="6"/>
        <v>7.8162222222222217</v>
      </c>
    </row>
    <row r="32" spans="1:18">
      <c r="A32" s="3">
        <v>28</v>
      </c>
      <c r="B32" s="25">
        <f>ROUND(ตั้งค่า!$C$24*A32^ตั้งค่า!$C$25,0)</f>
        <v>329280</v>
      </c>
      <c r="C32" s="25">
        <f t="shared" si="5"/>
        <v>2143260</v>
      </c>
      <c r="D32" s="26">
        <f>ROUND((ตั้งค่า!$C$12+ตั้งค่า!$C$13*A32)*(1+ตั้งค่า!$C$14)^(A32-1),1)</f>
        <v>112.7</v>
      </c>
      <c r="E32" s="25">
        <f>ROUND((ตั้งค่า!$C$15+ตั้งค่า!$C$16*A32)*(1+ตั้งค่า!$C$17)^(A32-1),0)</f>
        <v>553</v>
      </c>
      <c r="F32" s="25">
        <f>ROUND(D32*ตั้งค่า!$C$22,0)</f>
        <v>6</v>
      </c>
      <c r="G32" s="26">
        <f t="shared" si="0"/>
        <v>106.7</v>
      </c>
      <c r="H32" s="25">
        <f>ROUND(ตั้งค่า!$C$20*G32,0)</f>
        <v>427</v>
      </c>
      <c r="I32" s="25">
        <f>MAX(1,ROUND(E32/ตั้งค่า!$C$23,0))</f>
        <v>46</v>
      </c>
      <c r="J32" s="27">
        <f>ตั้งค่า!$C$20*ตั้งค่า!$C$18+ตั้งค่า!$C$21</f>
        <v>6.8</v>
      </c>
      <c r="K32" s="27">
        <f>ตั้งค่า!$C$10*A32^ตั้งค่า!$C$8+ตั้งค่า!$C$9</f>
        <v>57.762876199177711</v>
      </c>
      <c r="L32" s="25">
        <f t="shared" si="1"/>
        <v>509.67243705156801</v>
      </c>
      <c r="M32" s="25">
        <f t="shared" si="2"/>
        <v>646</v>
      </c>
      <c r="N32" s="25">
        <f>MAX(1,ROUND(M32*ตั้งค่า!$C$26*(1-ตั้งค่า!$C$27),0))</f>
        <v>258</v>
      </c>
      <c r="O32" s="25">
        <f>MAX(1,ROUND(M32*ตั้งค่า!$C$26*(1+ตั้งค่า!$C$27),0))</f>
        <v>388</v>
      </c>
      <c r="P32" s="25">
        <f t="shared" si="3"/>
        <v>510</v>
      </c>
      <c r="Q32" s="27">
        <f t="shared" si="4"/>
        <v>57.8</v>
      </c>
      <c r="R32" s="26">
        <f t="shared" si="6"/>
        <v>8.7115555555555559</v>
      </c>
    </row>
    <row r="33" spans="1:18">
      <c r="A33" s="3">
        <v>29</v>
      </c>
      <c r="B33" s="25">
        <f>ROUND(ตั้งค่า!$C$24*A33^ตั้งค่า!$C$25,0)</f>
        <v>365835</v>
      </c>
      <c r="C33" s="25">
        <f t="shared" si="5"/>
        <v>2472540</v>
      </c>
      <c r="D33" s="26">
        <f>ROUND((ตั้งค่า!$C$12+ตั้งค่า!$C$13*A33)*(1+ตั้งค่า!$C$14)^(A33-1),1)</f>
        <v>118.4</v>
      </c>
      <c r="E33" s="25">
        <f>ROUND((ตั้งค่า!$C$15+ตั้งค่า!$C$16*A33)*(1+ตั้งค่า!$C$17)^(A33-1),0)</f>
        <v>577</v>
      </c>
      <c r="F33" s="25">
        <f>ROUND(D33*ตั้งค่า!$C$22,0)</f>
        <v>6</v>
      </c>
      <c r="G33" s="26">
        <f t="shared" si="0"/>
        <v>112.4</v>
      </c>
      <c r="H33" s="25">
        <f>ROUND(ตั้งค่า!$C$20*G33,0)</f>
        <v>450</v>
      </c>
      <c r="I33" s="25">
        <f>MAX(1,ROUND(E33/ตั้งค่า!$C$23,0))</f>
        <v>48</v>
      </c>
      <c r="J33" s="27">
        <f>ตั้งค่า!$C$20*ตั้งค่า!$C$18+ตั้งค่า!$C$21</f>
        <v>6.8</v>
      </c>
      <c r="K33" s="27">
        <f>ตั้งค่า!$C$10*A33^ตั้งค่า!$C$8+ตั้งค่า!$C$9</f>
        <v>61.918850616719965</v>
      </c>
      <c r="L33" s="25">
        <f t="shared" si="1"/>
        <v>546.34279955929378</v>
      </c>
      <c r="M33" s="25">
        <f t="shared" si="2"/>
        <v>670</v>
      </c>
      <c r="N33" s="25">
        <f>MAX(1,ROUND(M33*ตั้งค่า!$C$26*(1-ตั้งค่า!$C$27),0))</f>
        <v>268</v>
      </c>
      <c r="O33" s="25">
        <f>MAX(1,ROUND(M33*ตั้งค่า!$C$26*(1+ตั้งค่า!$C$27),0))</f>
        <v>402</v>
      </c>
      <c r="P33" s="25">
        <f t="shared" si="3"/>
        <v>547</v>
      </c>
      <c r="Q33" s="27">
        <f t="shared" si="4"/>
        <v>61.993333333333332</v>
      </c>
      <c r="R33" s="26">
        <f t="shared" si="6"/>
        <v>9.6748888888888889</v>
      </c>
    </row>
    <row r="34" spans="1:18">
      <c r="A34" s="3">
        <v>30</v>
      </c>
      <c r="B34" s="25">
        <f>ROUND(ตั้งค่า!$C$24*A34^ตั้งค่า!$C$25,0)</f>
        <v>405000</v>
      </c>
      <c r="C34" s="25">
        <f t="shared" si="5"/>
        <v>2838375</v>
      </c>
      <c r="D34" s="26">
        <f>ROUND((ตั้งค่า!$C$12+ตั้งค่า!$C$13*A34)*(1+ตั้งค่า!$C$14)^(A34-1),1)</f>
        <v>124.3</v>
      </c>
      <c r="E34" s="25">
        <f>ROUND((ตั้งค่า!$C$15+ตั้งค่า!$C$16*A34)*(1+ตั้งค่า!$C$17)^(A34-1),0)</f>
        <v>601</v>
      </c>
      <c r="F34" s="25">
        <f>ROUND(D34*ตั้งค่า!$C$22,0)</f>
        <v>6</v>
      </c>
      <c r="G34" s="26">
        <f t="shared" si="0"/>
        <v>118.3</v>
      </c>
      <c r="H34" s="25">
        <f>ROUND(ตั้งค่า!$C$20*G34,0)</f>
        <v>473</v>
      </c>
      <c r="I34" s="25">
        <f>MAX(1,ROUND(E34/ตั้งค่า!$C$23,0))</f>
        <v>50</v>
      </c>
      <c r="J34" s="27">
        <f>ตั้งค่า!$C$20*ตั้งค่า!$C$18+ตั้งค่า!$C$21</f>
        <v>6.8</v>
      </c>
      <c r="K34" s="27">
        <f>ตั้งค่า!$C$10*A34^ตั้งค่า!$C$8+ตั้งค่า!$C$9</f>
        <v>66.220648698035632</v>
      </c>
      <c r="L34" s="25">
        <f t="shared" si="1"/>
        <v>584.29984145325557</v>
      </c>
      <c r="M34" s="25">
        <f t="shared" si="2"/>
        <v>693</v>
      </c>
      <c r="N34" s="25">
        <f>MAX(1,ROUND(M34*ตั้งค่า!$C$26*(1-ตั้งค่า!$C$27),0))</f>
        <v>277</v>
      </c>
      <c r="O34" s="25">
        <f>MAX(1,ROUND(M34*ตั้งค่า!$C$26*(1+ตั้งค่า!$C$27),0))</f>
        <v>416</v>
      </c>
      <c r="P34" s="25">
        <f t="shared" si="3"/>
        <v>585</v>
      </c>
      <c r="Q34" s="27">
        <f t="shared" si="4"/>
        <v>66.3</v>
      </c>
      <c r="R34" s="26">
        <f t="shared" si="6"/>
        <v>10.708111111111112</v>
      </c>
    </row>
    <row r="35" spans="1:18">
      <c r="A35" s="3">
        <v>31</v>
      </c>
      <c r="B35" s="25">
        <f>ROUND(ตั้งค่า!$C$24*A35^ตั้งค่า!$C$25,0)</f>
        <v>446865</v>
      </c>
      <c r="C35" s="25">
        <f t="shared" si="5"/>
        <v>3243375</v>
      </c>
      <c r="D35" s="26">
        <f>ROUND((ตั้งค่า!$C$12+ตั้งค่า!$C$13*A35)*(1+ตั้งค่า!$C$14)^(A35-1),1)</f>
        <v>130.4</v>
      </c>
      <c r="E35" s="25">
        <f>ROUND((ตั้งค่า!$C$15+ตั้งค่า!$C$16*A35)*(1+ตั้งค่า!$C$17)^(A35-1),0)</f>
        <v>625</v>
      </c>
      <c r="F35" s="25">
        <f>ROUND(D35*ตั้งค่า!$C$22,0)</f>
        <v>7</v>
      </c>
      <c r="G35" s="26">
        <f t="shared" si="0"/>
        <v>123.4</v>
      </c>
      <c r="H35" s="25">
        <f>ROUND(ตั้งค่า!$C$20*G35,0)</f>
        <v>494</v>
      </c>
      <c r="I35" s="25">
        <f>MAX(1,ROUND(E35/ตั้งค่า!$C$23,0))</f>
        <v>52</v>
      </c>
      <c r="J35" s="27">
        <f>ตั้งค่า!$C$20*ตั้งค่า!$C$18+ตั้งค่า!$C$21</f>
        <v>6.8</v>
      </c>
      <c r="K35" s="27">
        <f>ตั้งค่า!$C$10*A35^ตั้งค่า!$C$8+ตั้งค่า!$C$9</f>
        <v>70.668270443124712</v>
      </c>
      <c r="L35" s="25">
        <f t="shared" si="1"/>
        <v>623.54356273345331</v>
      </c>
      <c r="M35" s="25">
        <f t="shared" si="2"/>
        <v>717</v>
      </c>
      <c r="N35" s="25">
        <f>MAX(1,ROUND(M35*ตั้งค่า!$C$26*(1-ตั้งค่า!$C$27),0))</f>
        <v>287</v>
      </c>
      <c r="O35" s="25">
        <f>MAX(1,ROUND(M35*ตั้งค่า!$C$26*(1+ตั้งค่า!$C$27),0))</f>
        <v>430</v>
      </c>
      <c r="P35" s="25">
        <f t="shared" si="3"/>
        <v>624</v>
      </c>
      <c r="Q35" s="27">
        <f t="shared" si="4"/>
        <v>70.72</v>
      </c>
      <c r="R35" s="26">
        <f t="shared" si="6"/>
        <v>11.813111111111112</v>
      </c>
    </row>
    <row r="36" spans="1:18">
      <c r="A36" s="3">
        <v>32</v>
      </c>
      <c r="B36" s="25">
        <f>ROUND(ตั้งค่า!$C$24*A36^ตั้งค่า!$C$25,0)</f>
        <v>491520</v>
      </c>
      <c r="C36" s="25">
        <f t="shared" si="5"/>
        <v>3690240</v>
      </c>
      <c r="D36" s="26">
        <f>ROUND((ตั้งค่า!$C$12+ตั้งค่า!$C$13*A36)*(1+ตั้งค่า!$C$14)^(A36-1),1)</f>
        <v>136.69999999999999</v>
      </c>
      <c r="E36" s="25">
        <f>ROUND((ตั้งค่า!$C$15+ตั้งค่า!$C$16*A36)*(1+ตั้งค่า!$C$17)^(A36-1),0)</f>
        <v>650</v>
      </c>
      <c r="F36" s="25">
        <f>ROUND(D36*ตั้งค่า!$C$22,0)</f>
        <v>7</v>
      </c>
      <c r="G36" s="26">
        <f t="shared" si="0"/>
        <v>129.69999999999999</v>
      </c>
      <c r="H36" s="25">
        <f>ROUND(ตั้งค่า!$C$20*G36,0)</f>
        <v>519</v>
      </c>
      <c r="I36" s="25">
        <f>MAX(1,ROUND(E36/ตั้งค่า!$C$23,0))</f>
        <v>54</v>
      </c>
      <c r="J36" s="27">
        <f>ตั้งค่า!$C$20*ตั้งค่า!$C$18+ตั้งค่า!$C$21</f>
        <v>6.8</v>
      </c>
      <c r="K36" s="27">
        <f>ตั้งค่า!$C$10*A36^ตั้งค่า!$C$8+ตั้งค่า!$C$9</f>
        <v>75.261715851987205</v>
      </c>
      <c r="L36" s="25">
        <f t="shared" si="1"/>
        <v>664.07396339988713</v>
      </c>
      <c r="M36" s="25">
        <f t="shared" si="2"/>
        <v>740</v>
      </c>
      <c r="N36" s="25">
        <f>MAX(1,ROUND(M36*ตั้งค่า!$C$26*(1-ตั้งค่า!$C$27),0))</f>
        <v>296</v>
      </c>
      <c r="O36" s="25">
        <f>MAX(1,ROUND(M36*ตั้งค่า!$C$26*(1+ตั้งค่า!$C$27),0))</f>
        <v>444</v>
      </c>
      <c r="P36" s="25">
        <f t="shared" si="3"/>
        <v>665</v>
      </c>
      <c r="Q36" s="27">
        <f t="shared" si="4"/>
        <v>75.36666666666666</v>
      </c>
      <c r="R36" s="26">
        <f t="shared" si="6"/>
        <v>12.991777777777779</v>
      </c>
    </row>
    <row r="37" spans="1:18">
      <c r="A37" s="3">
        <v>33</v>
      </c>
      <c r="B37" s="25">
        <f>ROUND(ตั้งค่า!$C$24*A37^ตั้งค่า!$C$25,0)</f>
        <v>539055</v>
      </c>
      <c r="C37" s="25">
        <f t="shared" si="5"/>
        <v>4181760</v>
      </c>
      <c r="D37" s="26">
        <f>ROUND((ตั้งค่า!$C$12+ตั้งค่า!$C$13*A37)*(1+ตั้งค่า!$C$14)^(A37-1),1)</f>
        <v>143.19999999999999</v>
      </c>
      <c r="E37" s="25">
        <f>ROUND((ตั้งค่า!$C$15+ตั้งค่า!$C$16*A37)*(1+ตั้งค่า!$C$17)^(A37-1),0)</f>
        <v>676</v>
      </c>
      <c r="F37" s="25">
        <f>ROUND(D37*ตั้งค่า!$C$22,0)</f>
        <v>7</v>
      </c>
      <c r="G37" s="26">
        <f t="shared" ref="G37:G68" si="7">MAX(1,D37-F37)</f>
        <v>136.19999999999999</v>
      </c>
      <c r="H37" s="25">
        <f>ROUND(ตั้งค่า!$C$20*G37,0)</f>
        <v>545</v>
      </c>
      <c r="I37" s="25">
        <f>MAX(1,ROUND(E37/ตั้งค่า!$C$23,0))</f>
        <v>56</v>
      </c>
      <c r="J37" s="27">
        <f>ตั้งค่า!$C$20*ตั้งค่า!$C$18+ตั้งค่า!$C$21</f>
        <v>6.8</v>
      </c>
      <c r="K37" s="27">
        <f>ตั้งค่า!$C$10*A37^ตั้งค่า!$C$8+ตั้งค่า!$C$9</f>
        <v>80.000984924623111</v>
      </c>
      <c r="L37" s="25">
        <f t="shared" ref="L37:L68" si="8">K37*60/J37</f>
        <v>705.89104345255691</v>
      </c>
      <c r="M37" s="25">
        <f t="shared" ref="M37:M68" si="9">MAX(1,ROUND(B37/L37,0))</f>
        <v>764</v>
      </c>
      <c r="N37" s="25">
        <f>MAX(1,ROUND(M37*ตั้งค่า!$C$26*(1-ตั้งค่า!$C$27),0))</f>
        <v>306</v>
      </c>
      <c r="O37" s="25">
        <f>MAX(1,ROUND(M37*ตั้งค่า!$C$26*(1+ตั้งค่า!$C$27),0))</f>
        <v>458</v>
      </c>
      <c r="P37" s="25">
        <f t="shared" ref="P37:P68" si="10">ROUNDUP(B37/M37,0)</f>
        <v>706</v>
      </c>
      <c r="Q37" s="27">
        <f t="shared" ref="Q37:Q68" si="11">P37*J37/60</f>
        <v>80.013333333333335</v>
      </c>
      <c r="R37" s="26">
        <f t="shared" si="6"/>
        <v>14.247888888888889</v>
      </c>
    </row>
    <row r="38" spans="1:18">
      <c r="A38" s="3">
        <v>34</v>
      </c>
      <c r="B38" s="25">
        <f>ROUND(ตั้งค่า!$C$24*A38^ตั้งค่า!$C$25,0)</f>
        <v>589560</v>
      </c>
      <c r="C38" s="25">
        <f t="shared" ref="C38:C69" si="12">C37+B37</f>
        <v>4720815</v>
      </c>
      <c r="D38" s="26">
        <f>ROUND((ตั้งค่า!$C$12+ตั้งค่า!$C$13*A38)*(1+ตั้งค่า!$C$14)^(A38-1),1)</f>
        <v>149.9</v>
      </c>
      <c r="E38" s="25">
        <f>ROUND((ตั้งค่า!$C$15+ตั้งค่า!$C$16*A38)*(1+ตั้งค่า!$C$17)^(A38-1),0)</f>
        <v>703</v>
      </c>
      <c r="F38" s="25">
        <f>ROUND(D38*ตั้งค่า!$C$22,0)</f>
        <v>7</v>
      </c>
      <c r="G38" s="26">
        <f t="shared" si="7"/>
        <v>142.9</v>
      </c>
      <c r="H38" s="25">
        <f>ROUND(ตั้งค่า!$C$20*G38,0)</f>
        <v>572</v>
      </c>
      <c r="I38" s="25">
        <f>MAX(1,ROUND(E38/ตั้งค่า!$C$23,0))</f>
        <v>59</v>
      </c>
      <c r="J38" s="27">
        <f>ตั้งค่า!$C$20*ตั้งค่า!$C$18+ตั้งค่า!$C$21</f>
        <v>6.8</v>
      </c>
      <c r="K38" s="27">
        <f>ตั้งค่า!$C$10*A38^ตั้งค่า!$C$8+ตั้งค่า!$C$9</f>
        <v>84.886077661032431</v>
      </c>
      <c r="L38" s="25">
        <f t="shared" si="8"/>
        <v>748.99480289146265</v>
      </c>
      <c r="M38" s="25">
        <f t="shared" si="9"/>
        <v>787</v>
      </c>
      <c r="N38" s="25">
        <f>MAX(1,ROUND(M38*ตั้งค่า!$C$26*(1-ตั้งค่า!$C$27),0))</f>
        <v>315</v>
      </c>
      <c r="O38" s="25">
        <f>MAX(1,ROUND(M38*ตั้งค่า!$C$26*(1+ตั้งค่า!$C$27),0))</f>
        <v>472</v>
      </c>
      <c r="P38" s="25">
        <f t="shared" si="10"/>
        <v>750</v>
      </c>
      <c r="Q38" s="27">
        <f t="shared" si="11"/>
        <v>85</v>
      </c>
      <c r="R38" s="26">
        <f t="shared" ref="R38:R69" si="13">R37+Q37/60</f>
        <v>15.581444444444445</v>
      </c>
    </row>
    <row r="39" spans="1:18">
      <c r="A39" s="3">
        <v>35</v>
      </c>
      <c r="B39" s="25">
        <f>ROUND(ตั้งค่า!$C$24*A39^ตั้งค่า!$C$25,0)</f>
        <v>643125</v>
      </c>
      <c r="C39" s="25">
        <f t="shared" si="12"/>
        <v>5310375</v>
      </c>
      <c r="D39" s="26">
        <f>ROUND((ตั้งค่า!$C$12+ตั้งค่า!$C$13*A39)*(1+ตั้งค่า!$C$14)^(A39-1),1)</f>
        <v>156.9</v>
      </c>
      <c r="E39" s="25">
        <f>ROUND((ตั้งค่า!$C$15+ตั้งค่า!$C$16*A39)*(1+ตั้งค่า!$C$17)^(A39-1),0)</f>
        <v>730</v>
      </c>
      <c r="F39" s="25">
        <f>ROUND(D39*ตั้งค่า!$C$22,0)</f>
        <v>8</v>
      </c>
      <c r="G39" s="26">
        <f t="shared" si="7"/>
        <v>148.9</v>
      </c>
      <c r="H39" s="25">
        <f>ROUND(ตั้งค่า!$C$20*G39,0)</f>
        <v>596</v>
      </c>
      <c r="I39" s="25">
        <f>MAX(1,ROUND(E39/ตั้งค่า!$C$23,0))</f>
        <v>61</v>
      </c>
      <c r="J39" s="27">
        <f>ตั้งค่า!$C$20*ตั้งค่า!$C$18+ตั้งค่า!$C$21</f>
        <v>6.8</v>
      </c>
      <c r="K39" s="27">
        <f>ตั้งค่า!$C$10*A39^ตั้งค่า!$C$8+ตั้งค่า!$C$9</f>
        <v>89.916994061215163</v>
      </c>
      <c r="L39" s="25">
        <f t="shared" si="8"/>
        <v>793.38524171660447</v>
      </c>
      <c r="M39" s="25">
        <f t="shared" si="9"/>
        <v>811</v>
      </c>
      <c r="N39" s="25">
        <f>MAX(1,ROUND(M39*ตั้งค่า!$C$26*(1-ตั้งค่า!$C$27),0))</f>
        <v>324</v>
      </c>
      <c r="O39" s="25">
        <f>MAX(1,ROUND(M39*ตั้งค่า!$C$26*(1+ตั้งค่า!$C$27),0))</f>
        <v>487</v>
      </c>
      <c r="P39" s="25">
        <f t="shared" si="10"/>
        <v>794</v>
      </c>
      <c r="Q39" s="27">
        <f t="shared" si="11"/>
        <v>89.986666666666665</v>
      </c>
      <c r="R39" s="26">
        <f t="shared" si="13"/>
        <v>16.998111111111111</v>
      </c>
    </row>
    <row r="40" spans="1:18">
      <c r="A40" s="3">
        <v>36</v>
      </c>
      <c r="B40" s="25">
        <f>ROUND(ตั้งค่า!$C$24*A40^ตั้งค่า!$C$25,0)</f>
        <v>699840</v>
      </c>
      <c r="C40" s="25">
        <f t="shared" si="12"/>
        <v>5953500</v>
      </c>
      <c r="D40" s="26">
        <f>ROUND((ตั้งค่า!$C$12+ตั้งค่า!$C$13*A40)*(1+ตั้งค่า!$C$14)^(A40-1),1)</f>
        <v>164</v>
      </c>
      <c r="E40" s="25">
        <f>ROUND((ตั้งค่า!$C$15+ตั้งค่า!$C$16*A40)*(1+ตั้งค่า!$C$17)^(A40-1),0)</f>
        <v>758</v>
      </c>
      <c r="F40" s="25">
        <f>ROUND(D40*ตั้งค่า!$C$22,0)</f>
        <v>8</v>
      </c>
      <c r="G40" s="26">
        <f t="shared" si="7"/>
        <v>156</v>
      </c>
      <c r="H40" s="25">
        <f>ROUND(ตั้งค่า!$C$20*G40,0)</f>
        <v>624</v>
      </c>
      <c r="I40" s="25">
        <f>MAX(1,ROUND(E40/ตั้งค่า!$C$23,0))</f>
        <v>63</v>
      </c>
      <c r="J40" s="27">
        <f>ตั้งค่า!$C$20*ตั้งค่า!$C$18+ตั้งค่า!$C$21</f>
        <v>6.8</v>
      </c>
      <c r="K40" s="27">
        <f>ตั้งค่า!$C$10*A40^ตั้งค่า!$C$8+ตั้งค่า!$C$9</f>
        <v>95.093734125171309</v>
      </c>
      <c r="L40" s="25">
        <f t="shared" si="8"/>
        <v>839.06235992798213</v>
      </c>
      <c r="M40" s="25">
        <f t="shared" si="9"/>
        <v>834</v>
      </c>
      <c r="N40" s="25">
        <f>MAX(1,ROUND(M40*ตั้งค่า!$C$26*(1-ตั้งค่า!$C$27),0))</f>
        <v>334</v>
      </c>
      <c r="O40" s="25">
        <f>MAX(1,ROUND(M40*ตั้งค่า!$C$26*(1+ตั้งค่า!$C$27),0))</f>
        <v>500</v>
      </c>
      <c r="P40" s="25">
        <f t="shared" si="10"/>
        <v>840</v>
      </c>
      <c r="Q40" s="27">
        <f t="shared" si="11"/>
        <v>95.2</v>
      </c>
      <c r="R40" s="26">
        <f t="shared" si="13"/>
        <v>18.497888888888887</v>
      </c>
    </row>
    <row r="41" spans="1:18">
      <c r="A41" s="3">
        <v>37</v>
      </c>
      <c r="B41" s="25">
        <f>ROUND(ตั้งค่า!$C$24*A41^ตั้งค่า!$C$25,0)</f>
        <v>759795</v>
      </c>
      <c r="C41" s="25">
        <f t="shared" si="12"/>
        <v>6653340</v>
      </c>
      <c r="D41" s="26">
        <f>ROUND((ตั้งค่า!$C$12+ตั้งค่า!$C$13*A41)*(1+ตั้งค่า!$C$14)^(A41-1),1)</f>
        <v>171.4</v>
      </c>
      <c r="E41" s="25">
        <f>ROUND((ตั้งค่า!$C$15+ตั้งค่า!$C$16*A41)*(1+ตั้งค่า!$C$17)^(A41-1),0)</f>
        <v>786</v>
      </c>
      <c r="F41" s="25">
        <f>ROUND(D41*ตั้งค่า!$C$22,0)</f>
        <v>9</v>
      </c>
      <c r="G41" s="26">
        <f t="shared" si="7"/>
        <v>162.4</v>
      </c>
      <c r="H41" s="25">
        <f>ROUND(ตั้งค่า!$C$20*G41,0)</f>
        <v>650</v>
      </c>
      <c r="I41" s="25">
        <f>MAX(1,ROUND(E41/ตั้งค่า!$C$23,0))</f>
        <v>66</v>
      </c>
      <c r="J41" s="27">
        <f>ตั้งค่า!$C$20*ตั้งค่า!$C$18+ตั้งค่า!$C$21</f>
        <v>6.8</v>
      </c>
      <c r="K41" s="27">
        <f>ตั้งค่า!$C$10*A41^ตั้งค่า!$C$8+ตั้งค่า!$C$9</f>
        <v>100.41629785290087</v>
      </c>
      <c r="L41" s="25">
        <f t="shared" si="8"/>
        <v>886.02615752559586</v>
      </c>
      <c r="M41" s="25">
        <f t="shared" si="9"/>
        <v>858</v>
      </c>
      <c r="N41" s="25">
        <f>MAX(1,ROUND(M41*ตั้งค่า!$C$26*(1-ตั้งค่า!$C$27),0))</f>
        <v>343</v>
      </c>
      <c r="O41" s="25">
        <f>MAX(1,ROUND(M41*ตั้งค่า!$C$26*(1+ตั้งค่า!$C$27),0))</f>
        <v>515</v>
      </c>
      <c r="P41" s="25">
        <f t="shared" si="10"/>
        <v>886</v>
      </c>
      <c r="Q41" s="27">
        <f t="shared" si="11"/>
        <v>100.41333333333334</v>
      </c>
      <c r="R41" s="26">
        <f t="shared" si="13"/>
        <v>20.084555555555553</v>
      </c>
    </row>
    <row r="42" spans="1:18">
      <c r="A42" s="3">
        <v>38</v>
      </c>
      <c r="B42" s="25">
        <f>ROUND(ตั้งค่า!$C$24*A42^ตั้งค่า!$C$25,0)</f>
        <v>823080</v>
      </c>
      <c r="C42" s="25">
        <f t="shared" si="12"/>
        <v>7413135</v>
      </c>
      <c r="D42" s="26">
        <f>ROUND((ตั้งค่า!$C$12+ตั้งค่า!$C$13*A42)*(1+ตั้งค่า!$C$14)^(A42-1),1)</f>
        <v>178.9</v>
      </c>
      <c r="E42" s="25">
        <f>ROUND((ตั้งค่า!$C$15+ตั้งค่า!$C$16*A42)*(1+ตั้งค่า!$C$17)^(A42-1),0)</f>
        <v>815</v>
      </c>
      <c r="F42" s="25">
        <f>ROUND(D42*ตั้งค่า!$C$22,0)</f>
        <v>9</v>
      </c>
      <c r="G42" s="26">
        <f t="shared" si="7"/>
        <v>169.9</v>
      </c>
      <c r="H42" s="25">
        <f>ROUND(ตั้งค่า!$C$20*G42,0)</f>
        <v>680</v>
      </c>
      <c r="I42" s="25">
        <f>MAX(1,ROUND(E42/ตั้งค่า!$C$23,0))</f>
        <v>68</v>
      </c>
      <c r="J42" s="27">
        <f>ตั้งค่า!$C$20*ตั้งค่า!$C$18+ตั้งค่า!$C$21</f>
        <v>6.8</v>
      </c>
      <c r="K42" s="27">
        <f>ตั้งค่า!$C$10*A42^ตั้งค่า!$C$8+ตั้งค่า!$C$9</f>
        <v>105.88468524440384</v>
      </c>
      <c r="L42" s="25">
        <f t="shared" si="8"/>
        <v>934.27663450944556</v>
      </c>
      <c r="M42" s="25">
        <f t="shared" si="9"/>
        <v>881</v>
      </c>
      <c r="N42" s="25">
        <f>MAX(1,ROUND(M42*ตั้งค่า!$C$26*(1-ตั้งค่า!$C$27),0))</f>
        <v>352</v>
      </c>
      <c r="O42" s="25">
        <f>MAX(1,ROUND(M42*ตั้งค่า!$C$26*(1+ตั้งค่า!$C$27),0))</f>
        <v>529</v>
      </c>
      <c r="P42" s="25">
        <f t="shared" si="10"/>
        <v>935</v>
      </c>
      <c r="Q42" s="27">
        <f t="shared" si="11"/>
        <v>105.96666666666667</v>
      </c>
      <c r="R42" s="26">
        <f t="shared" si="13"/>
        <v>21.758111111111109</v>
      </c>
    </row>
    <row r="43" spans="1:18">
      <c r="A43" s="3">
        <v>39</v>
      </c>
      <c r="B43" s="25">
        <f>ROUND(ตั้งค่า!$C$24*A43^ตั้งค่า!$C$25,0)</f>
        <v>889785</v>
      </c>
      <c r="C43" s="25">
        <f t="shared" si="12"/>
        <v>8236215</v>
      </c>
      <c r="D43" s="26">
        <f>ROUND((ตั้งค่า!$C$12+ตั้งค่า!$C$13*A43)*(1+ตั้งค่า!$C$14)^(A43-1),1)</f>
        <v>186.8</v>
      </c>
      <c r="E43" s="25">
        <f>ROUND((ตั้งค่า!$C$15+ตั้งค่า!$C$16*A43)*(1+ตั้งค่า!$C$17)^(A43-1),0)</f>
        <v>845</v>
      </c>
      <c r="F43" s="25">
        <f>ROUND(D43*ตั้งค่า!$C$22,0)</f>
        <v>9</v>
      </c>
      <c r="G43" s="26">
        <f t="shared" si="7"/>
        <v>177.8</v>
      </c>
      <c r="H43" s="25">
        <f>ROUND(ตั้งค่า!$C$20*G43,0)</f>
        <v>711</v>
      </c>
      <c r="I43" s="25">
        <f>MAX(1,ROUND(E43/ตั้งค่า!$C$23,0))</f>
        <v>70</v>
      </c>
      <c r="J43" s="27">
        <f>ตั้งค่า!$C$20*ตั้งค่า!$C$18+ตั้งค่า!$C$21</f>
        <v>6.8</v>
      </c>
      <c r="K43" s="27">
        <f>ตั้งค่า!$C$10*A43^ตั้งค่า!$C$8+ตั้งค่า!$C$9</f>
        <v>111.49889629968021</v>
      </c>
      <c r="L43" s="25">
        <f t="shared" si="8"/>
        <v>983.81379087953133</v>
      </c>
      <c r="M43" s="25">
        <f t="shared" si="9"/>
        <v>904</v>
      </c>
      <c r="N43" s="25">
        <f>MAX(1,ROUND(M43*ตั้งค่า!$C$26*(1-ตั้งค่า!$C$27),0))</f>
        <v>362</v>
      </c>
      <c r="O43" s="25">
        <f>MAX(1,ROUND(M43*ตั้งค่า!$C$26*(1+ตั้งค่า!$C$27),0))</f>
        <v>542</v>
      </c>
      <c r="P43" s="25">
        <f t="shared" si="10"/>
        <v>985</v>
      </c>
      <c r="Q43" s="27">
        <f t="shared" si="11"/>
        <v>111.63333333333334</v>
      </c>
      <c r="R43" s="26">
        <f t="shared" si="13"/>
        <v>23.524222222222221</v>
      </c>
    </row>
    <row r="44" spans="1:18">
      <c r="A44" s="3">
        <v>40</v>
      </c>
      <c r="B44" s="25">
        <f>ROUND(ตั้งค่า!$C$24*A44^ตั้งค่า!$C$25,0)</f>
        <v>960000</v>
      </c>
      <c r="C44" s="25">
        <f t="shared" si="12"/>
        <v>9126000</v>
      </c>
      <c r="D44" s="26">
        <f>ROUND((ตั้งค่า!$C$12+ตั้งค่า!$C$13*A44)*(1+ตั้งค่า!$C$14)^(A44-1),1)</f>
        <v>194.8</v>
      </c>
      <c r="E44" s="25">
        <f>ROUND((ตั้งค่า!$C$15+ตั้งค่า!$C$16*A44)*(1+ตั้งค่า!$C$17)^(A44-1),0)</f>
        <v>876</v>
      </c>
      <c r="F44" s="25">
        <f>ROUND(D44*ตั้งค่า!$C$22,0)</f>
        <v>10</v>
      </c>
      <c r="G44" s="26">
        <f t="shared" si="7"/>
        <v>184.8</v>
      </c>
      <c r="H44" s="25">
        <f>ROUND(ตั้งค่า!$C$20*G44,0)</f>
        <v>739</v>
      </c>
      <c r="I44" s="25">
        <f>MAX(1,ROUND(E44/ตั้งค่า!$C$23,0))</f>
        <v>73</v>
      </c>
      <c r="J44" s="27">
        <f>ตั้งค่า!$C$20*ตั้งค่า!$C$18+ตั้งค่า!$C$21</f>
        <v>6.8</v>
      </c>
      <c r="K44" s="27">
        <f>ตั้งค่า!$C$10*A44^ตั้งค่า!$C$8+ตั้งค่า!$C$9</f>
        <v>117.25893101873001</v>
      </c>
      <c r="L44" s="25">
        <f t="shared" si="8"/>
        <v>1034.6376266358532</v>
      </c>
      <c r="M44" s="25">
        <f t="shared" si="9"/>
        <v>928</v>
      </c>
      <c r="N44" s="25">
        <f>MAX(1,ROUND(M44*ตั้งค่า!$C$26*(1-ตั้งค่า!$C$27),0))</f>
        <v>371</v>
      </c>
      <c r="O44" s="25">
        <f>MAX(1,ROUND(M44*ตั้งค่า!$C$26*(1+ตั้งค่า!$C$27),0))</f>
        <v>557</v>
      </c>
      <c r="P44" s="25">
        <f t="shared" si="10"/>
        <v>1035</v>
      </c>
      <c r="Q44" s="27">
        <f t="shared" si="11"/>
        <v>117.3</v>
      </c>
      <c r="R44" s="26">
        <f t="shared" si="13"/>
        <v>25.384777777777778</v>
      </c>
    </row>
    <row r="45" spans="1:18">
      <c r="A45" s="3">
        <v>41</v>
      </c>
      <c r="B45" s="25">
        <f>ROUND(ตั้งค่า!$C$24*A45^ตั้งค่า!$C$25,0)</f>
        <v>1033815</v>
      </c>
      <c r="C45" s="25">
        <f t="shared" si="12"/>
        <v>10086000</v>
      </c>
      <c r="D45" s="26">
        <f>ROUND((ตั้งค่า!$C$12+ตั้งค่า!$C$13*A45)*(1+ตั้งค่า!$C$14)^(A45-1),1)</f>
        <v>203.1</v>
      </c>
      <c r="E45" s="25">
        <f>ROUND((ตั้งค่า!$C$15+ตั้งค่า!$C$16*A45)*(1+ตั้งค่า!$C$17)^(A45-1),0)</f>
        <v>907</v>
      </c>
      <c r="F45" s="25">
        <f>ROUND(D45*ตั้งค่า!$C$22,0)</f>
        <v>10</v>
      </c>
      <c r="G45" s="26">
        <f t="shared" si="7"/>
        <v>193.1</v>
      </c>
      <c r="H45" s="25">
        <f>ROUND(ตั้งค่า!$C$20*G45,0)</f>
        <v>772</v>
      </c>
      <c r="I45" s="25">
        <f>MAX(1,ROUND(E45/ตั้งค่า!$C$23,0))</f>
        <v>76</v>
      </c>
      <c r="J45" s="27">
        <f>ตั้งค่า!$C$20*ตั้งค่า!$C$18+ตั้งค่า!$C$21</f>
        <v>6.8</v>
      </c>
      <c r="K45" s="27">
        <f>ตั้งค่า!$C$10*A45^ตั้งค่า!$C$8+ตั้งค่า!$C$9</f>
        <v>123.16478940155322</v>
      </c>
      <c r="L45" s="25">
        <f t="shared" si="8"/>
        <v>1086.7481417784109</v>
      </c>
      <c r="M45" s="25">
        <f t="shared" si="9"/>
        <v>951</v>
      </c>
      <c r="N45" s="25">
        <f>MAX(1,ROUND(M45*ตั้งค่า!$C$26*(1-ตั้งค่า!$C$27),0))</f>
        <v>380</v>
      </c>
      <c r="O45" s="25">
        <f>MAX(1,ROUND(M45*ตั้งค่า!$C$26*(1+ตั้งค่า!$C$27),0))</f>
        <v>571</v>
      </c>
      <c r="P45" s="25">
        <f t="shared" si="10"/>
        <v>1088</v>
      </c>
      <c r="Q45" s="27">
        <f t="shared" si="11"/>
        <v>123.30666666666666</v>
      </c>
      <c r="R45" s="26">
        <f t="shared" si="13"/>
        <v>27.339777777777776</v>
      </c>
    </row>
    <row r="46" spans="1:18">
      <c r="A46" s="3">
        <v>42</v>
      </c>
      <c r="B46" s="25">
        <f>ROUND(ตั้งค่า!$C$24*A46^ตั้งค่า!$C$25,0)</f>
        <v>1111320</v>
      </c>
      <c r="C46" s="25">
        <f t="shared" si="12"/>
        <v>11119815</v>
      </c>
      <c r="D46" s="26">
        <f>ROUND((ตั้งค่า!$C$12+ตั้งค่า!$C$13*A46)*(1+ตั้งค่า!$C$14)^(A46-1),1)</f>
        <v>211.7</v>
      </c>
      <c r="E46" s="25">
        <f>ROUND((ตั้งค่า!$C$15+ตั้งค่า!$C$16*A46)*(1+ตั้งค่า!$C$17)^(A46-1),0)</f>
        <v>939</v>
      </c>
      <c r="F46" s="25">
        <f>ROUND(D46*ตั้งค่า!$C$22,0)</f>
        <v>11</v>
      </c>
      <c r="G46" s="26">
        <f t="shared" si="7"/>
        <v>200.7</v>
      </c>
      <c r="H46" s="25">
        <f>ROUND(ตั้งค่า!$C$20*G46,0)</f>
        <v>803</v>
      </c>
      <c r="I46" s="25">
        <f>MAX(1,ROUND(E46/ตั้งค่า!$C$23,0))</f>
        <v>78</v>
      </c>
      <c r="J46" s="27">
        <f>ตั้งค่า!$C$20*ตั้งค่า!$C$18+ตั้งค่า!$C$21</f>
        <v>6.8</v>
      </c>
      <c r="K46" s="27">
        <f>ตั้งค่า!$C$10*A46^ตั้งค่า!$C$8+ตั้งค่า!$C$9</f>
        <v>129.21647144814983</v>
      </c>
      <c r="L46" s="25">
        <f t="shared" si="8"/>
        <v>1140.1453363072044</v>
      </c>
      <c r="M46" s="25">
        <f t="shared" si="9"/>
        <v>975</v>
      </c>
      <c r="N46" s="25">
        <f>MAX(1,ROUND(M46*ตั้งค่า!$C$26*(1-ตั้งค่า!$C$27),0))</f>
        <v>390</v>
      </c>
      <c r="O46" s="25">
        <f>MAX(1,ROUND(M46*ตั้งค่า!$C$26*(1+ตั้งค่า!$C$27),0))</f>
        <v>585</v>
      </c>
      <c r="P46" s="25">
        <f t="shared" si="10"/>
        <v>1140</v>
      </c>
      <c r="Q46" s="27">
        <f t="shared" si="11"/>
        <v>129.19999999999999</v>
      </c>
      <c r="R46" s="26">
        <f t="shared" si="13"/>
        <v>29.394888888888886</v>
      </c>
    </row>
    <row r="47" spans="1:18">
      <c r="A47" s="3">
        <v>43</v>
      </c>
      <c r="B47" s="25">
        <f>ROUND(ตั้งค่า!$C$24*A47^ตั้งค่า!$C$25,0)</f>
        <v>1192605</v>
      </c>
      <c r="C47" s="25">
        <f t="shared" si="12"/>
        <v>12231135</v>
      </c>
      <c r="D47" s="26">
        <f>ROUND((ตั้งค่า!$C$12+ตั้งค่า!$C$13*A47)*(1+ตั้งค่า!$C$14)^(A47-1),1)</f>
        <v>220.5</v>
      </c>
      <c r="E47" s="25">
        <f>ROUND((ตั้งค่า!$C$15+ตั้งค่า!$C$16*A47)*(1+ตั้งค่า!$C$17)^(A47-1),0)</f>
        <v>972</v>
      </c>
      <c r="F47" s="25">
        <f>ROUND(D47*ตั้งค่า!$C$22,0)</f>
        <v>11</v>
      </c>
      <c r="G47" s="26">
        <f t="shared" si="7"/>
        <v>209.5</v>
      </c>
      <c r="H47" s="25">
        <f>ROUND(ตั้งค่า!$C$20*G47,0)</f>
        <v>838</v>
      </c>
      <c r="I47" s="25">
        <f>MAX(1,ROUND(E47/ตั้งค่า!$C$23,0))</f>
        <v>81</v>
      </c>
      <c r="J47" s="27">
        <f>ตั้งค่า!$C$20*ตั้งค่า!$C$18+ตั้งค่า!$C$21</f>
        <v>6.8</v>
      </c>
      <c r="K47" s="27">
        <f>ตั้งค่า!$C$10*A47^ตั้งค่า!$C$8+ตั้งค่า!$C$9</f>
        <v>135.41397715851986</v>
      </c>
      <c r="L47" s="25">
        <f t="shared" si="8"/>
        <v>1194.829210222234</v>
      </c>
      <c r="M47" s="25">
        <f t="shared" si="9"/>
        <v>998</v>
      </c>
      <c r="N47" s="25">
        <f>MAX(1,ROUND(M47*ตั้งค่า!$C$26*(1-ตั้งค่า!$C$27),0))</f>
        <v>399</v>
      </c>
      <c r="O47" s="25">
        <f>MAX(1,ROUND(M47*ตั้งค่า!$C$26*(1+ตั้งค่า!$C$27),0))</f>
        <v>599</v>
      </c>
      <c r="P47" s="25">
        <f t="shared" si="10"/>
        <v>1195</v>
      </c>
      <c r="Q47" s="27">
        <f t="shared" si="11"/>
        <v>135.43333333333334</v>
      </c>
      <c r="R47" s="26">
        <f t="shared" si="13"/>
        <v>31.548222222222218</v>
      </c>
    </row>
    <row r="48" spans="1:18">
      <c r="A48" s="3">
        <v>44</v>
      </c>
      <c r="B48" s="25">
        <f>ROUND(ตั้งค่า!$C$24*A48^ตั้งค่า!$C$25,0)</f>
        <v>1277760</v>
      </c>
      <c r="C48" s="25">
        <f t="shared" si="12"/>
        <v>13423740</v>
      </c>
      <c r="D48" s="26">
        <f>ROUND((ตั้งค่า!$C$12+ตั้งค่า!$C$13*A48)*(1+ตั้งค่า!$C$14)^(A48-1),1)</f>
        <v>229.6</v>
      </c>
      <c r="E48" s="25">
        <f>ROUND((ตั้งค่า!$C$15+ตั้งค่า!$C$16*A48)*(1+ตั้งค่า!$C$17)^(A48-1),0)</f>
        <v>1005</v>
      </c>
      <c r="F48" s="25">
        <f>ROUND(D48*ตั้งค่า!$C$22,0)</f>
        <v>11</v>
      </c>
      <c r="G48" s="26">
        <f t="shared" si="7"/>
        <v>218.6</v>
      </c>
      <c r="H48" s="25">
        <f>ROUND(ตั้งค่า!$C$20*G48,0)</f>
        <v>874</v>
      </c>
      <c r="I48" s="25">
        <f>MAX(1,ROUND(E48/ตั้งค่า!$C$23,0))</f>
        <v>84</v>
      </c>
      <c r="J48" s="27">
        <f>ตั้งค่า!$C$20*ตั้งค่า!$C$18+ตั้งค่า!$C$21</f>
        <v>6.8</v>
      </c>
      <c r="K48" s="27">
        <f>ตั้งค่า!$C$10*A48^ตั้งค่า!$C$8+ตั้งค่า!$C$9</f>
        <v>141.75730653266331</v>
      </c>
      <c r="L48" s="25">
        <f t="shared" si="8"/>
        <v>1250.7997635234999</v>
      </c>
      <c r="M48" s="25">
        <f t="shared" si="9"/>
        <v>1022</v>
      </c>
      <c r="N48" s="25">
        <f>MAX(1,ROUND(M48*ตั้งค่า!$C$26*(1-ตั้งค่า!$C$27),0))</f>
        <v>409</v>
      </c>
      <c r="O48" s="25">
        <f>MAX(1,ROUND(M48*ตั้งค่า!$C$26*(1+ตั้งค่า!$C$27),0))</f>
        <v>613</v>
      </c>
      <c r="P48" s="25">
        <f t="shared" si="10"/>
        <v>1251</v>
      </c>
      <c r="Q48" s="27">
        <f t="shared" si="11"/>
        <v>141.78</v>
      </c>
      <c r="R48" s="26">
        <f t="shared" si="13"/>
        <v>33.80544444444444</v>
      </c>
    </row>
    <row r="49" spans="1:18">
      <c r="A49" s="3">
        <v>45</v>
      </c>
      <c r="B49" s="25">
        <f>ROUND(ตั้งค่า!$C$24*A49^ตั้งค่า!$C$25,0)</f>
        <v>1366875</v>
      </c>
      <c r="C49" s="25">
        <f t="shared" si="12"/>
        <v>14701500</v>
      </c>
      <c r="D49" s="26">
        <f>ROUND((ตั้งค่า!$C$12+ตั้งค่า!$C$13*A49)*(1+ตั้งค่า!$C$14)^(A49-1),1)</f>
        <v>239</v>
      </c>
      <c r="E49" s="25">
        <f>ROUND((ตั้งค่า!$C$15+ตั้งค่า!$C$16*A49)*(1+ตั้งค่า!$C$17)^(A49-1),0)</f>
        <v>1040</v>
      </c>
      <c r="F49" s="25">
        <f>ROUND(D49*ตั้งค่า!$C$22,0)</f>
        <v>12</v>
      </c>
      <c r="G49" s="26">
        <f t="shared" si="7"/>
        <v>227</v>
      </c>
      <c r="H49" s="25">
        <f>ROUND(ตั้งค่า!$C$20*G49,0)</f>
        <v>908</v>
      </c>
      <c r="I49" s="25">
        <f>MAX(1,ROUND(E49/ตั้งค่า!$C$23,0))</f>
        <v>87</v>
      </c>
      <c r="J49" s="27">
        <f>ตั้งค่า!$C$20*ตั้งค่า!$C$18+ตั้งค่า!$C$21</f>
        <v>6.8</v>
      </c>
      <c r="K49" s="27">
        <f>ตั้งค่า!$C$10*A49^ตั้งค่า!$C$8+ตั้งค่า!$C$9</f>
        <v>148.24645957058019</v>
      </c>
      <c r="L49" s="25">
        <f t="shared" si="8"/>
        <v>1308.0569962110017</v>
      </c>
      <c r="M49" s="25">
        <f t="shared" si="9"/>
        <v>1045</v>
      </c>
      <c r="N49" s="25">
        <f>MAX(1,ROUND(M49*ตั้งค่า!$C$26*(1-ตั้งค่า!$C$27),0))</f>
        <v>418</v>
      </c>
      <c r="O49" s="25">
        <f>MAX(1,ROUND(M49*ตั้งค่า!$C$26*(1+ตั้งค่า!$C$27),0))</f>
        <v>627</v>
      </c>
      <c r="P49" s="25">
        <f t="shared" si="10"/>
        <v>1309</v>
      </c>
      <c r="Q49" s="27">
        <f t="shared" si="11"/>
        <v>148.35333333333332</v>
      </c>
      <c r="R49" s="26">
        <f t="shared" si="13"/>
        <v>36.16844444444444</v>
      </c>
    </row>
    <row r="50" spans="1:18">
      <c r="A50" s="3">
        <v>46</v>
      </c>
      <c r="B50" s="25">
        <f>ROUND(ตั้งค่า!$C$24*A50^ตั้งค่า!$C$25,0)</f>
        <v>1460040</v>
      </c>
      <c r="C50" s="25">
        <f t="shared" si="12"/>
        <v>16068375</v>
      </c>
      <c r="D50" s="26">
        <f>ROUND((ตั้งค่า!$C$12+ตั้งค่า!$C$13*A50)*(1+ตั้งค่า!$C$14)^(A50-1),1)</f>
        <v>248.7</v>
      </c>
      <c r="E50" s="25">
        <f>ROUND((ตั้งค่า!$C$15+ตั้งค่า!$C$16*A50)*(1+ตั้งค่า!$C$17)^(A50-1),0)</f>
        <v>1075</v>
      </c>
      <c r="F50" s="25">
        <f>ROUND(D50*ตั้งค่า!$C$22,0)</f>
        <v>12</v>
      </c>
      <c r="G50" s="26">
        <f t="shared" si="7"/>
        <v>236.7</v>
      </c>
      <c r="H50" s="25">
        <f>ROUND(ตั้งค่า!$C$20*G50,0)</f>
        <v>947</v>
      </c>
      <c r="I50" s="25">
        <f>MAX(1,ROUND(E50/ตั้งค่า!$C$23,0))</f>
        <v>90</v>
      </c>
      <c r="J50" s="27">
        <f>ตั้งค่า!$C$20*ตั้งค่า!$C$18+ตั้งค่า!$C$21</f>
        <v>6.8</v>
      </c>
      <c r="K50" s="27">
        <f>ตั้งค่า!$C$10*A50^ตั้งค่า!$C$8+ตั้งค่า!$C$9</f>
        <v>154.88143627227043</v>
      </c>
      <c r="L50" s="25">
        <f t="shared" si="8"/>
        <v>1366.600908284739</v>
      </c>
      <c r="M50" s="25">
        <f t="shared" si="9"/>
        <v>1068</v>
      </c>
      <c r="N50" s="25">
        <f>MAX(1,ROUND(M50*ตั้งค่า!$C$26*(1-ตั้งค่า!$C$27),0))</f>
        <v>427</v>
      </c>
      <c r="O50" s="25">
        <f>MAX(1,ROUND(M50*ตั้งค่า!$C$26*(1+ตั้งค่า!$C$27),0))</f>
        <v>641</v>
      </c>
      <c r="P50" s="25">
        <f t="shared" si="10"/>
        <v>1368</v>
      </c>
      <c r="Q50" s="27">
        <f t="shared" si="11"/>
        <v>155.04</v>
      </c>
      <c r="R50" s="26">
        <f t="shared" si="13"/>
        <v>38.640999999999998</v>
      </c>
    </row>
    <row r="51" spans="1:18">
      <c r="A51" s="3">
        <v>47</v>
      </c>
      <c r="B51" s="25">
        <f>ROUND(ตั้งค่า!$C$24*A51^ตั้งค่า!$C$25,0)</f>
        <v>1557345</v>
      </c>
      <c r="C51" s="25">
        <f t="shared" si="12"/>
        <v>17528415</v>
      </c>
      <c r="D51" s="26">
        <f>ROUND((ตั้งค่า!$C$12+ตั้งค่า!$C$13*A51)*(1+ตั้งค่า!$C$14)^(A51-1),1)</f>
        <v>258.60000000000002</v>
      </c>
      <c r="E51" s="25">
        <f>ROUND((ตั้งค่า!$C$15+ตั้งค่า!$C$16*A51)*(1+ตั้งค่า!$C$17)^(A51-1),0)</f>
        <v>1111</v>
      </c>
      <c r="F51" s="25">
        <f>ROUND(D51*ตั้งค่า!$C$22,0)</f>
        <v>13</v>
      </c>
      <c r="G51" s="26">
        <f t="shared" si="7"/>
        <v>245.60000000000002</v>
      </c>
      <c r="H51" s="25">
        <f>ROUND(ตั้งค่า!$C$20*G51,0)</f>
        <v>982</v>
      </c>
      <c r="I51" s="25">
        <f>MAX(1,ROUND(E51/ตั้งค่า!$C$23,0))</f>
        <v>93</v>
      </c>
      <c r="J51" s="27">
        <f>ตั้งค่า!$C$20*ตั้งค่า!$C$18+ตั้งค่า!$C$21</f>
        <v>6.8</v>
      </c>
      <c r="K51" s="27">
        <f>ตั้งค่า!$C$10*A51^ตั้งค่า!$C$8+ตั้งค่า!$C$9</f>
        <v>161.66223663773411</v>
      </c>
      <c r="L51" s="25">
        <f t="shared" si="8"/>
        <v>1426.4314997447127</v>
      </c>
      <c r="M51" s="25">
        <f t="shared" si="9"/>
        <v>1092</v>
      </c>
      <c r="N51" s="25">
        <f>MAX(1,ROUND(M51*ตั้งค่า!$C$26*(1-ตั้งค่า!$C$27),0))</f>
        <v>437</v>
      </c>
      <c r="O51" s="25">
        <f>MAX(1,ROUND(M51*ตั้งค่า!$C$26*(1+ตั้งค่า!$C$27),0))</f>
        <v>655</v>
      </c>
      <c r="P51" s="25">
        <f t="shared" si="10"/>
        <v>1427</v>
      </c>
      <c r="Q51" s="27">
        <f t="shared" si="11"/>
        <v>161.72666666666666</v>
      </c>
      <c r="R51" s="26">
        <f t="shared" si="13"/>
        <v>41.225000000000001</v>
      </c>
    </row>
    <row r="52" spans="1:18">
      <c r="A52" s="3">
        <v>48</v>
      </c>
      <c r="B52" s="25">
        <f>ROUND(ตั้งค่า!$C$24*A52^ตั้งค่า!$C$25,0)</f>
        <v>1658880</v>
      </c>
      <c r="C52" s="25">
        <f t="shared" si="12"/>
        <v>19085760</v>
      </c>
      <c r="D52" s="26">
        <f>ROUND((ตั้งค่า!$C$12+ตั้งค่า!$C$13*A52)*(1+ตั้งค่า!$C$14)^(A52-1),1)</f>
        <v>268.89999999999998</v>
      </c>
      <c r="E52" s="25">
        <f>ROUND((ตั้งค่า!$C$15+ตั้งค่า!$C$16*A52)*(1+ตั้งค่า!$C$17)^(A52-1),0)</f>
        <v>1148</v>
      </c>
      <c r="F52" s="25">
        <f>ROUND(D52*ตั้งค่า!$C$22,0)</f>
        <v>13</v>
      </c>
      <c r="G52" s="26">
        <f t="shared" si="7"/>
        <v>255.89999999999998</v>
      </c>
      <c r="H52" s="25">
        <f>ROUND(ตั้งค่า!$C$20*G52,0)</f>
        <v>1024</v>
      </c>
      <c r="I52" s="25">
        <f>MAX(1,ROUND(E52/ตั้งค่า!$C$23,0))</f>
        <v>96</v>
      </c>
      <c r="J52" s="27">
        <f>ตั้งค่า!$C$20*ตั้งค่า!$C$18+ตั้งค่า!$C$21</f>
        <v>6.8</v>
      </c>
      <c r="K52" s="27">
        <f>ตั้งค่า!$C$10*A52^ตั้งค่า!$C$8+ตั้งค่า!$C$9</f>
        <v>168.58886066697121</v>
      </c>
      <c r="L52" s="25">
        <f t="shared" si="8"/>
        <v>1487.5487705909225</v>
      </c>
      <c r="M52" s="25">
        <f t="shared" si="9"/>
        <v>1115</v>
      </c>
      <c r="N52" s="25">
        <f>MAX(1,ROUND(M52*ตั้งค่า!$C$26*(1-ตั้งค่า!$C$27),0))</f>
        <v>446</v>
      </c>
      <c r="O52" s="25">
        <f>MAX(1,ROUND(M52*ตั้งค่า!$C$26*(1+ตั้งค่า!$C$27),0))</f>
        <v>669</v>
      </c>
      <c r="P52" s="25">
        <f t="shared" si="10"/>
        <v>1488</v>
      </c>
      <c r="Q52" s="27">
        <f t="shared" si="11"/>
        <v>168.64</v>
      </c>
      <c r="R52" s="26">
        <f t="shared" si="13"/>
        <v>43.920444444444449</v>
      </c>
    </row>
    <row r="53" spans="1:18">
      <c r="A53" s="3">
        <v>49</v>
      </c>
      <c r="B53" s="25">
        <f>ROUND(ตั้งค่า!$C$24*A53^ตั้งค่า!$C$25,0)</f>
        <v>1764735</v>
      </c>
      <c r="C53" s="25">
        <f t="shared" si="12"/>
        <v>20744640</v>
      </c>
      <c r="D53" s="26">
        <f>ROUND((ตั้งค่า!$C$12+ตั้งค่า!$C$13*A53)*(1+ตั้งค่า!$C$14)^(A53-1),1)</f>
        <v>279.39999999999998</v>
      </c>
      <c r="E53" s="25">
        <f>ROUND((ตั้งค่า!$C$15+ตั้งค่า!$C$16*A53)*(1+ตั้งค่า!$C$17)^(A53-1),0)</f>
        <v>1185</v>
      </c>
      <c r="F53" s="25">
        <f>ROUND(D53*ตั้งค่า!$C$22,0)</f>
        <v>14</v>
      </c>
      <c r="G53" s="26">
        <f t="shared" si="7"/>
        <v>265.39999999999998</v>
      </c>
      <c r="H53" s="25">
        <f>ROUND(ตั้งค่า!$C$20*G53,0)</f>
        <v>1062</v>
      </c>
      <c r="I53" s="25">
        <f>MAX(1,ROUND(E53/ตั้งค่า!$C$23,0))</f>
        <v>99</v>
      </c>
      <c r="J53" s="27">
        <f>ตั้งค่า!$C$20*ตั้งค่า!$C$18+ตั้งค่า!$C$21</f>
        <v>6.8</v>
      </c>
      <c r="K53" s="27">
        <f>ตั้งค่า!$C$10*A53^ตั้งค่า!$C$8+ตั้งค่า!$C$9</f>
        <v>175.66130835998172</v>
      </c>
      <c r="L53" s="25">
        <f t="shared" si="8"/>
        <v>1549.9527208233681</v>
      </c>
      <c r="M53" s="25">
        <f t="shared" si="9"/>
        <v>1139</v>
      </c>
      <c r="N53" s="25">
        <f>MAX(1,ROUND(M53*ตั้งค่า!$C$26*(1-ตั้งค่า!$C$27),0))</f>
        <v>456</v>
      </c>
      <c r="O53" s="25">
        <f>MAX(1,ROUND(M53*ตั้งค่า!$C$26*(1+ตั้งค่า!$C$27),0))</f>
        <v>683</v>
      </c>
      <c r="P53" s="25">
        <f t="shared" si="10"/>
        <v>1550</v>
      </c>
      <c r="Q53" s="27">
        <f t="shared" si="11"/>
        <v>175.66666666666666</v>
      </c>
      <c r="R53" s="26">
        <f t="shared" si="13"/>
        <v>46.731111111111119</v>
      </c>
    </row>
    <row r="54" spans="1:18">
      <c r="A54" s="3">
        <v>50</v>
      </c>
      <c r="B54" s="25">
        <f>ROUND(ตั้งค่า!$C$24*A54^ตั้งค่า!$C$25,0)</f>
        <v>1875000</v>
      </c>
      <c r="C54" s="25">
        <f t="shared" si="12"/>
        <v>22509375</v>
      </c>
      <c r="D54" s="26">
        <f>ROUND((ตั้งค่า!$C$12+ตั้งค่า!$C$13*A54)*(1+ตั้งค่า!$C$14)^(A54-1),1)</f>
        <v>290.3</v>
      </c>
      <c r="E54" s="25">
        <f>ROUND((ตั้งค่า!$C$15+ตั้งค่า!$C$16*A54)*(1+ตั้งค่า!$C$17)^(A54-1),0)</f>
        <v>1224</v>
      </c>
      <c r="F54" s="25">
        <f>ROUND(D54*ตั้งค่า!$C$22,0)</f>
        <v>15</v>
      </c>
      <c r="G54" s="26">
        <f t="shared" si="7"/>
        <v>275.3</v>
      </c>
      <c r="H54" s="25">
        <f>ROUND(ตั้งค่า!$C$20*G54,0)</f>
        <v>1101</v>
      </c>
      <c r="I54" s="25">
        <f>MAX(1,ROUND(E54/ตั้งค่า!$C$23,0))</f>
        <v>102</v>
      </c>
      <c r="J54" s="27">
        <f>ตั้งค่า!$C$20*ตั้งค่า!$C$18+ตั้งค่า!$C$21</f>
        <v>6.8</v>
      </c>
      <c r="K54" s="27">
        <f>ตั้งค่า!$C$10*A54^ตั้งค่า!$C$8+ตั้งค่า!$C$9</f>
        <v>182.87957971676565</v>
      </c>
      <c r="L54" s="25">
        <f t="shared" si="8"/>
        <v>1613.6433504420497</v>
      </c>
      <c r="M54" s="25">
        <f t="shared" si="9"/>
        <v>1162</v>
      </c>
      <c r="N54" s="25">
        <f>MAX(1,ROUND(M54*ตั้งค่า!$C$26*(1-ตั้งค่า!$C$27),0))</f>
        <v>465</v>
      </c>
      <c r="O54" s="25">
        <f>MAX(1,ROUND(M54*ตั้งค่า!$C$26*(1+ตั้งค่า!$C$27),0))</f>
        <v>697</v>
      </c>
      <c r="P54" s="25">
        <f t="shared" si="10"/>
        <v>1614</v>
      </c>
      <c r="Q54" s="27">
        <f t="shared" si="11"/>
        <v>182.92</v>
      </c>
      <c r="R54" s="26">
        <f t="shared" si="13"/>
        <v>49.658888888888896</v>
      </c>
    </row>
    <row r="55" spans="1:18">
      <c r="A55" s="3">
        <v>51</v>
      </c>
      <c r="B55" s="25">
        <f>ROUND(ตั้งค่า!$C$24*A55^ตั้งค่า!$C$25,0)</f>
        <v>1989765</v>
      </c>
      <c r="C55" s="25">
        <f t="shared" si="12"/>
        <v>24384375</v>
      </c>
      <c r="D55" s="26">
        <f>ROUND((ตั้งค่า!$C$12+ตั้งค่า!$C$13*A55)*(1+ตั้งค่า!$C$14)^(A55-1),1)</f>
        <v>301.5</v>
      </c>
      <c r="E55" s="25">
        <f>ROUND((ตั้งค่า!$C$15+ตั้งค่า!$C$16*A55)*(1+ตั้งค่า!$C$17)^(A55-1),0)</f>
        <v>1263</v>
      </c>
      <c r="F55" s="25">
        <f>ROUND(D55*ตั้งค่า!$C$22,0)</f>
        <v>15</v>
      </c>
      <c r="G55" s="26">
        <f t="shared" si="7"/>
        <v>286.5</v>
      </c>
      <c r="H55" s="25">
        <f>ROUND(ตั้งค่า!$C$20*G55,0)</f>
        <v>1146</v>
      </c>
      <c r="I55" s="25">
        <f>MAX(1,ROUND(E55/ตั้งค่า!$C$23,0))</f>
        <v>105</v>
      </c>
      <c r="J55" s="27">
        <f>ตั้งค่า!$C$20*ตั้งค่า!$C$18+ตั้งค่า!$C$21</f>
        <v>6.8</v>
      </c>
      <c r="K55" s="27">
        <f>ตั้งค่า!$C$10*A55^ตั้งค่า!$C$8+ตั้งค่า!$C$9</f>
        <v>190.24367473732298</v>
      </c>
      <c r="L55" s="25">
        <f t="shared" si="8"/>
        <v>1678.6206594469675</v>
      </c>
      <c r="M55" s="25">
        <f t="shared" si="9"/>
        <v>1185</v>
      </c>
      <c r="N55" s="25">
        <f>MAX(1,ROUND(M55*ตั้งค่า!$C$26*(1-ตั้งค่า!$C$27),0))</f>
        <v>474</v>
      </c>
      <c r="O55" s="25">
        <f>MAX(1,ROUND(M55*ตั้งค่า!$C$26*(1+ตั้งค่า!$C$27),0))</f>
        <v>711</v>
      </c>
      <c r="P55" s="25">
        <f t="shared" si="10"/>
        <v>1680</v>
      </c>
      <c r="Q55" s="27">
        <f t="shared" si="11"/>
        <v>190.4</v>
      </c>
      <c r="R55" s="26">
        <f t="shared" si="13"/>
        <v>52.707555555555565</v>
      </c>
    </row>
    <row r="56" spans="1:18">
      <c r="A56" s="3">
        <v>52</v>
      </c>
      <c r="B56" s="25">
        <f>ROUND(ตั้งค่า!$C$24*A56^ตั้งค่า!$C$25,0)</f>
        <v>2109120</v>
      </c>
      <c r="C56" s="25">
        <f t="shared" si="12"/>
        <v>26374140</v>
      </c>
      <c r="D56" s="26">
        <f>ROUND((ตั้งค่า!$C$12+ตั้งค่า!$C$13*A56)*(1+ตั้งค่า!$C$14)^(A56-1),1)</f>
        <v>313</v>
      </c>
      <c r="E56" s="25">
        <f>ROUND((ตั้งค่า!$C$15+ตั้งค่า!$C$16*A56)*(1+ตั้งค่า!$C$17)^(A56-1),0)</f>
        <v>1303</v>
      </c>
      <c r="F56" s="25">
        <f>ROUND(D56*ตั้งค่า!$C$22,0)</f>
        <v>16</v>
      </c>
      <c r="G56" s="26">
        <f t="shared" si="7"/>
        <v>297</v>
      </c>
      <c r="H56" s="25">
        <f>ROUND(ตั้งค่า!$C$20*G56,0)</f>
        <v>1188</v>
      </c>
      <c r="I56" s="25">
        <f>MAX(1,ROUND(E56/ตั้งค่า!$C$23,0))</f>
        <v>109</v>
      </c>
      <c r="J56" s="27">
        <f>ตั้งค่า!$C$20*ตั้งค่า!$C$18+ตั้งค่า!$C$21</f>
        <v>6.8</v>
      </c>
      <c r="K56" s="27">
        <f>ตั้งค่า!$C$10*A56^ตั้งค่า!$C$8+ตั้งค่า!$C$9</f>
        <v>197.75359342165373</v>
      </c>
      <c r="L56" s="25">
        <f t="shared" si="8"/>
        <v>1744.8846478381211</v>
      </c>
      <c r="M56" s="25">
        <f t="shared" si="9"/>
        <v>1209</v>
      </c>
      <c r="N56" s="25">
        <f>MAX(1,ROUND(M56*ตั้งค่า!$C$26*(1-ตั้งค่า!$C$27),0))</f>
        <v>484</v>
      </c>
      <c r="O56" s="25">
        <f>MAX(1,ROUND(M56*ตั้งค่า!$C$26*(1+ตั้งค่า!$C$27),0))</f>
        <v>725</v>
      </c>
      <c r="P56" s="25">
        <f t="shared" si="10"/>
        <v>1745</v>
      </c>
      <c r="Q56" s="27">
        <f t="shared" si="11"/>
        <v>197.76666666666668</v>
      </c>
      <c r="R56" s="26">
        <f t="shared" si="13"/>
        <v>55.880888888888897</v>
      </c>
    </row>
    <row r="57" spans="1:18">
      <c r="A57" s="3">
        <v>53</v>
      </c>
      <c r="B57" s="25">
        <f>ROUND(ตั้งค่า!$C$24*A57^ตั้งค่า!$C$25,0)</f>
        <v>2233155</v>
      </c>
      <c r="C57" s="25">
        <f t="shared" si="12"/>
        <v>28483260</v>
      </c>
      <c r="D57" s="26">
        <f>ROUND((ตั้งค่า!$C$12+ตั้งค่า!$C$13*A57)*(1+ตั้งค่า!$C$14)^(A57-1),1)</f>
        <v>324.8</v>
      </c>
      <c r="E57" s="25">
        <f>ROUND((ตั้งค่า!$C$15+ตั้งค่า!$C$16*A57)*(1+ตั้งค่า!$C$17)^(A57-1),0)</f>
        <v>1345</v>
      </c>
      <c r="F57" s="25">
        <f>ROUND(D57*ตั้งค่า!$C$22,0)</f>
        <v>16</v>
      </c>
      <c r="G57" s="26">
        <f t="shared" si="7"/>
        <v>308.8</v>
      </c>
      <c r="H57" s="25">
        <f>ROUND(ตั้งค่า!$C$20*G57,0)</f>
        <v>1235</v>
      </c>
      <c r="I57" s="25">
        <f>MAX(1,ROUND(E57/ตั้งค่า!$C$23,0))</f>
        <v>112</v>
      </c>
      <c r="J57" s="27">
        <f>ตั้งค่า!$C$20*ตั้งค่า!$C$18+ตั้งค่า!$C$21</f>
        <v>6.8</v>
      </c>
      <c r="K57" s="27">
        <f>ตั้งค่า!$C$10*A57^ตั้งค่า!$C$8+ตั้งค่า!$C$9</f>
        <v>205.40933576975789</v>
      </c>
      <c r="L57" s="25">
        <f t="shared" si="8"/>
        <v>1812.4353156155107</v>
      </c>
      <c r="M57" s="25">
        <f t="shared" si="9"/>
        <v>1232</v>
      </c>
      <c r="N57" s="25">
        <f>MAX(1,ROUND(M57*ตั้งค่า!$C$26*(1-ตั้งค่า!$C$27),0))</f>
        <v>493</v>
      </c>
      <c r="O57" s="25">
        <f>MAX(1,ROUND(M57*ตั้งค่า!$C$26*(1+ตั้งค่า!$C$27),0))</f>
        <v>739</v>
      </c>
      <c r="P57" s="25">
        <f t="shared" si="10"/>
        <v>1813</v>
      </c>
      <c r="Q57" s="27">
        <f t="shared" si="11"/>
        <v>205.47333333333333</v>
      </c>
      <c r="R57" s="26">
        <f t="shared" si="13"/>
        <v>59.177000000000007</v>
      </c>
    </row>
    <row r="58" spans="1:18">
      <c r="A58" s="3">
        <v>54</v>
      </c>
      <c r="B58" s="25">
        <f>ROUND(ตั้งค่า!$C$24*A58^ตั้งค่า!$C$25,0)</f>
        <v>2361960</v>
      </c>
      <c r="C58" s="25">
        <f t="shared" si="12"/>
        <v>30716415</v>
      </c>
      <c r="D58" s="26">
        <f>ROUND((ตั้งค่า!$C$12+ตั้งค่า!$C$13*A58)*(1+ตั้งค่า!$C$14)^(A58-1),1)</f>
        <v>337</v>
      </c>
      <c r="E58" s="25">
        <f>ROUND((ตั้งค่า!$C$15+ตั้งค่า!$C$16*A58)*(1+ตั้งค่า!$C$17)^(A58-1),0)</f>
        <v>1387</v>
      </c>
      <c r="F58" s="25">
        <f>ROUND(D58*ตั้งค่า!$C$22,0)</f>
        <v>17</v>
      </c>
      <c r="G58" s="26">
        <f t="shared" si="7"/>
        <v>320</v>
      </c>
      <c r="H58" s="25">
        <f>ROUND(ตั้งค่า!$C$20*G58,0)</f>
        <v>1280</v>
      </c>
      <c r="I58" s="25">
        <f>MAX(1,ROUND(E58/ตั้งค่า!$C$23,0))</f>
        <v>116</v>
      </c>
      <c r="J58" s="27">
        <f>ตั้งค่า!$C$20*ตั้งค่า!$C$18+ตั้งค่า!$C$21</f>
        <v>6.8</v>
      </c>
      <c r="K58" s="27">
        <f>ตั้งค่า!$C$10*A58^ตั้งค่า!$C$8+ตั้งค่า!$C$9</f>
        <v>213.21090178163544</v>
      </c>
      <c r="L58" s="25">
        <f t="shared" si="8"/>
        <v>1881.2726627791362</v>
      </c>
      <c r="M58" s="25">
        <f t="shared" si="9"/>
        <v>1256</v>
      </c>
      <c r="N58" s="25">
        <f>MAX(1,ROUND(M58*ตั้งค่า!$C$26*(1-ตั้งค่า!$C$27),0))</f>
        <v>502</v>
      </c>
      <c r="O58" s="25">
        <f>MAX(1,ROUND(M58*ตั้งค่า!$C$26*(1+ตั้งค่า!$C$27),0))</f>
        <v>754</v>
      </c>
      <c r="P58" s="25">
        <f t="shared" si="10"/>
        <v>1881</v>
      </c>
      <c r="Q58" s="27">
        <f t="shared" si="11"/>
        <v>213.17999999999998</v>
      </c>
      <c r="R58" s="26">
        <f t="shared" si="13"/>
        <v>62.601555555555564</v>
      </c>
    </row>
    <row r="59" spans="1:18">
      <c r="A59" s="3">
        <v>55</v>
      </c>
      <c r="B59" s="25">
        <f>ROUND(ตั้งค่า!$C$24*A59^ตั้งค่า!$C$25,0)</f>
        <v>2495625</v>
      </c>
      <c r="C59" s="25">
        <f t="shared" si="12"/>
        <v>33078375</v>
      </c>
      <c r="D59" s="26">
        <f>ROUND((ตั้งค่า!$C$12+ตั้งค่า!$C$13*A59)*(1+ตั้งค่า!$C$14)^(A59-1),1)</f>
        <v>349.6</v>
      </c>
      <c r="E59" s="25">
        <f>ROUND((ตั้งค่า!$C$15+ตั้งค่า!$C$16*A59)*(1+ตั้งค่า!$C$17)^(A59-1),0)</f>
        <v>1430</v>
      </c>
      <c r="F59" s="25">
        <f>ROUND(D59*ตั้งค่า!$C$22,0)</f>
        <v>17</v>
      </c>
      <c r="G59" s="26">
        <f t="shared" si="7"/>
        <v>332.6</v>
      </c>
      <c r="H59" s="25">
        <f>ROUND(ตั้งค่า!$C$20*G59,0)</f>
        <v>1330</v>
      </c>
      <c r="I59" s="25">
        <f>MAX(1,ROUND(E59/ตั้งค่า!$C$23,0))</f>
        <v>119</v>
      </c>
      <c r="J59" s="27">
        <f>ตั้งค่า!$C$20*ตั้งค่า!$C$18+ตั้งค่า!$C$21</f>
        <v>6.8</v>
      </c>
      <c r="K59" s="27">
        <f>ตั้งค่า!$C$10*A59^ตั้งค่า!$C$8+ตั้งค่า!$C$9</f>
        <v>221.15829145728642</v>
      </c>
      <c r="L59" s="25">
        <f t="shared" si="8"/>
        <v>1951.396689328998</v>
      </c>
      <c r="M59" s="25">
        <f t="shared" si="9"/>
        <v>1279</v>
      </c>
      <c r="N59" s="25">
        <f>MAX(1,ROUND(M59*ตั้งค่า!$C$26*(1-ตั้งค่า!$C$27),0))</f>
        <v>512</v>
      </c>
      <c r="O59" s="25">
        <f>MAX(1,ROUND(M59*ตั้งค่า!$C$26*(1+ตั้งค่า!$C$27),0))</f>
        <v>767</v>
      </c>
      <c r="P59" s="25">
        <f t="shared" si="10"/>
        <v>1952</v>
      </c>
      <c r="Q59" s="27">
        <f t="shared" si="11"/>
        <v>221.22666666666666</v>
      </c>
      <c r="R59" s="26">
        <f t="shared" si="13"/>
        <v>66.154555555555561</v>
      </c>
    </row>
    <row r="60" spans="1:18">
      <c r="A60" s="3">
        <v>56</v>
      </c>
      <c r="B60" s="25">
        <f>ROUND(ตั้งค่า!$C$24*A60^ตั้งค่า!$C$25,0)</f>
        <v>2634240</v>
      </c>
      <c r="C60" s="25">
        <f t="shared" si="12"/>
        <v>35574000</v>
      </c>
      <c r="D60" s="26">
        <f>ROUND((ตั้งค่า!$C$12+ตั้งค่า!$C$13*A60)*(1+ตั้งค่า!$C$14)^(A60-1),1)</f>
        <v>362.6</v>
      </c>
      <c r="E60" s="25">
        <f>ROUND((ตั้งค่า!$C$15+ตั้งค่า!$C$16*A60)*(1+ตั้งค่า!$C$17)^(A60-1),0)</f>
        <v>1474</v>
      </c>
      <c r="F60" s="25">
        <f>ROUND(D60*ตั้งค่า!$C$22,0)</f>
        <v>18</v>
      </c>
      <c r="G60" s="26">
        <f t="shared" si="7"/>
        <v>344.6</v>
      </c>
      <c r="H60" s="25">
        <f>ROUND(ตั้งค่า!$C$20*G60,0)</f>
        <v>1378</v>
      </c>
      <c r="I60" s="25">
        <f>MAX(1,ROUND(E60/ตั้งค่า!$C$23,0))</f>
        <v>123</v>
      </c>
      <c r="J60" s="27">
        <f>ตั้งค่า!$C$20*ตั้งค่า!$C$18+ตั้งค่า!$C$21</f>
        <v>6.8</v>
      </c>
      <c r="K60" s="27">
        <f>ตั้งค่า!$C$10*A60^ตั้งค่า!$C$8+ตั้งค่า!$C$9</f>
        <v>229.25150479671083</v>
      </c>
      <c r="L60" s="25">
        <f t="shared" si="8"/>
        <v>2022.8073952650957</v>
      </c>
      <c r="M60" s="25">
        <f t="shared" si="9"/>
        <v>1302</v>
      </c>
      <c r="N60" s="25">
        <f>MAX(1,ROUND(M60*ตั้งค่า!$C$26*(1-ตั้งค่า!$C$27),0))</f>
        <v>521</v>
      </c>
      <c r="O60" s="25">
        <f>MAX(1,ROUND(M60*ตั้งค่า!$C$26*(1+ตั้งค่า!$C$27),0))</f>
        <v>781</v>
      </c>
      <c r="P60" s="25">
        <f t="shared" si="10"/>
        <v>2024</v>
      </c>
      <c r="Q60" s="27">
        <f t="shared" si="11"/>
        <v>229.38666666666666</v>
      </c>
      <c r="R60" s="26">
        <f t="shared" si="13"/>
        <v>69.841666666666669</v>
      </c>
    </row>
    <row r="61" spans="1:18">
      <c r="A61" s="3">
        <v>57</v>
      </c>
      <c r="B61" s="25">
        <f>ROUND(ตั้งค่า!$C$24*A61^ตั้งค่า!$C$25,0)</f>
        <v>2777895</v>
      </c>
      <c r="C61" s="25">
        <f t="shared" si="12"/>
        <v>38208240</v>
      </c>
      <c r="D61" s="26">
        <f>ROUND((ตั้งค่า!$C$12+ตั้งค่า!$C$13*A61)*(1+ตั้งค่า!$C$14)^(A61-1),1)</f>
        <v>375.9</v>
      </c>
      <c r="E61" s="25">
        <f>ROUND((ตั้งค่า!$C$15+ตั้งค่า!$C$16*A61)*(1+ตั้งค่า!$C$17)^(A61-1),0)</f>
        <v>1519</v>
      </c>
      <c r="F61" s="25">
        <f>ROUND(D61*ตั้งค่า!$C$22,0)</f>
        <v>19</v>
      </c>
      <c r="G61" s="26">
        <f t="shared" si="7"/>
        <v>356.9</v>
      </c>
      <c r="H61" s="25">
        <f>ROUND(ตั้งค่า!$C$20*G61,0)</f>
        <v>1428</v>
      </c>
      <c r="I61" s="25">
        <f>MAX(1,ROUND(E61/ตั้งค่า!$C$23,0))</f>
        <v>127</v>
      </c>
      <c r="J61" s="27">
        <f>ตั้งค่า!$C$20*ตั้งค่า!$C$18+ตั้งค่า!$C$21</f>
        <v>6.8</v>
      </c>
      <c r="K61" s="27">
        <f>ตั้งค่า!$C$10*A61^ตั้งค่า!$C$8+ตั้งค่า!$C$9</f>
        <v>237.49054179990864</v>
      </c>
      <c r="L61" s="25">
        <f t="shared" si="8"/>
        <v>2095.5047805874292</v>
      </c>
      <c r="M61" s="25">
        <f t="shared" si="9"/>
        <v>1326</v>
      </c>
      <c r="N61" s="25">
        <f>MAX(1,ROUND(M61*ตั้งค่า!$C$26*(1-ตั้งค่า!$C$27),0))</f>
        <v>530</v>
      </c>
      <c r="O61" s="25">
        <f>MAX(1,ROUND(M61*ตั้งค่า!$C$26*(1+ตั้งค่า!$C$27),0))</f>
        <v>796</v>
      </c>
      <c r="P61" s="25">
        <f t="shared" si="10"/>
        <v>2095</v>
      </c>
      <c r="Q61" s="27">
        <f t="shared" si="11"/>
        <v>237.43333333333334</v>
      </c>
      <c r="R61" s="26">
        <f t="shared" si="13"/>
        <v>73.664777777777786</v>
      </c>
    </row>
    <row r="62" spans="1:18">
      <c r="A62" s="3">
        <v>58</v>
      </c>
      <c r="B62" s="25">
        <f>ROUND(ตั้งค่า!$C$24*A62^ตั้งค่า!$C$25,0)</f>
        <v>2926680</v>
      </c>
      <c r="C62" s="25">
        <f t="shared" si="12"/>
        <v>40986135</v>
      </c>
      <c r="D62" s="26">
        <f>ROUND((ตั้งค่า!$C$12+ตั้งค่า!$C$13*A62)*(1+ตั้งค่า!$C$14)^(A62-1),1)</f>
        <v>389.6</v>
      </c>
      <c r="E62" s="25">
        <f>ROUND((ตั้งค่า!$C$15+ตั้งค่า!$C$16*A62)*(1+ตั้งค่า!$C$17)^(A62-1),0)</f>
        <v>1565</v>
      </c>
      <c r="F62" s="25">
        <f>ROUND(D62*ตั้งค่า!$C$22,0)</f>
        <v>19</v>
      </c>
      <c r="G62" s="26">
        <f t="shared" si="7"/>
        <v>370.6</v>
      </c>
      <c r="H62" s="25">
        <f>ROUND(ตั้งค่า!$C$20*G62,0)</f>
        <v>1482</v>
      </c>
      <c r="I62" s="25">
        <f>MAX(1,ROUND(E62/ตั้งค่า!$C$23,0))</f>
        <v>130</v>
      </c>
      <c r="J62" s="27">
        <f>ตั้งค่า!$C$20*ตั้งค่า!$C$18+ตั้งค่า!$C$21</f>
        <v>6.8</v>
      </c>
      <c r="K62" s="27">
        <f>ตั้งค่า!$C$10*A62^ตั้งค่า!$C$8+ตั้งค่า!$C$9</f>
        <v>245.87540246687985</v>
      </c>
      <c r="L62" s="25">
        <f t="shared" si="8"/>
        <v>2169.488845295999</v>
      </c>
      <c r="M62" s="25">
        <f t="shared" si="9"/>
        <v>1349</v>
      </c>
      <c r="N62" s="25">
        <f>MAX(1,ROUND(M62*ตั้งค่า!$C$26*(1-ตั้งค่า!$C$27),0))</f>
        <v>540</v>
      </c>
      <c r="O62" s="25">
        <f>MAX(1,ROUND(M62*ตั้งค่า!$C$26*(1+ตั้งค่า!$C$27),0))</f>
        <v>809</v>
      </c>
      <c r="P62" s="25">
        <f t="shared" si="10"/>
        <v>2170</v>
      </c>
      <c r="Q62" s="27">
        <f t="shared" si="11"/>
        <v>245.93333333333334</v>
      </c>
      <c r="R62" s="26">
        <f t="shared" si="13"/>
        <v>77.622000000000014</v>
      </c>
    </row>
    <row r="63" spans="1:18">
      <c r="A63" s="3">
        <v>59</v>
      </c>
      <c r="B63" s="25">
        <f>ROUND(ตั้งค่า!$C$24*A63^ตั้งค่า!$C$25,0)</f>
        <v>3080685</v>
      </c>
      <c r="C63" s="25">
        <f t="shared" si="12"/>
        <v>43912815</v>
      </c>
      <c r="D63" s="26">
        <f>ROUND((ตั้งค่า!$C$12+ตั้งค่า!$C$13*A63)*(1+ตั้งค่า!$C$14)^(A63-1),1)</f>
        <v>403.7</v>
      </c>
      <c r="E63" s="25">
        <f>ROUND((ตั้งค่า!$C$15+ตั้งค่า!$C$16*A63)*(1+ตั้งค่า!$C$17)^(A63-1),0)</f>
        <v>1613</v>
      </c>
      <c r="F63" s="25">
        <f>ROUND(D63*ตั้งค่า!$C$22,0)</f>
        <v>20</v>
      </c>
      <c r="G63" s="26">
        <f t="shared" si="7"/>
        <v>383.7</v>
      </c>
      <c r="H63" s="25">
        <f>ROUND(ตั้งค่า!$C$20*G63,0)</f>
        <v>1535</v>
      </c>
      <c r="I63" s="25">
        <f>MAX(1,ROUND(E63/ตั้งค่า!$C$23,0))</f>
        <v>134</v>
      </c>
      <c r="J63" s="27">
        <f>ตั้งค่า!$C$20*ตั้งค่า!$C$18+ตั้งค่า!$C$21</f>
        <v>6.8</v>
      </c>
      <c r="K63" s="27">
        <f>ตั้งค่า!$C$10*A63^ตั้งค่า!$C$8+ตั้งค่า!$C$9</f>
        <v>254.40608679762448</v>
      </c>
      <c r="L63" s="25">
        <f t="shared" si="8"/>
        <v>2244.7595893908042</v>
      </c>
      <c r="M63" s="25">
        <f t="shared" si="9"/>
        <v>1372</v>
      </c>
      <c r="N63" s="25">
        <f>MAX(1,ROUND(M63*ตั้งค่า!$C$26*(1-ตั้งค่า!$C$27),0))</f>
        <v>549</v>
      </c>
      <c r="O63" s="25">
        <f>MAX(1,ROUND(M63*ตั้งค่า!$C$26*(1+ตั้งค่า!$C$27),0))</f>
        <v>823</v>
      </c>
      <c r="P63" s="25">
        <f t="shared" si="10"/>
        <v>2246</v>
      </c>
      <c r="Q63" s="27">
        <f t="shared" si="11"/>
        <v>254.54666666666665</v>
      </c>
      <c r="R63" s="26">
        <f t="shared" si="13"/>
        <v>81.720888888888908</v>
      </c>
    </row>
    <row r="64" spans="1:18">
      <c r="A64" s="3">
        <v>60</v>
      </c>
      <c r="B64" s="25">
        <f>ROUND(ตั้งค่า!$C$24*A64^ตั้งค่า!$C$25,0)</f>
        <v>3240000</v>
      </c>
      <c r="C64" s="25">
        <f t="shared" si="12"/>
        <v>46993500</v>
      </c>
      <c r="D64" s="26">
        <f>ROUND((ตั้งค่า!$C$12+ตั้งค่า!$C$13*A64)*(1+ตั้งค่า!$C$14)^(A64-1),1)</f>
        <v>418.2</v>
      </c>
      <c r="E64" s="25">
        <f>ROUND((ตั้งค่า!$C$15+ตั้งค่า!$C$16*A64)*(1+ตั้งค่า!$C$17)^(A64-1),0)</f>
        <v>1661</v>
      </c>
      <c r="F64" s="25">
        <f>ROUND(D64*ตั้งค่า!$C$22,0)</f>
        <v>21</v>
      </c>
      <c r="G64" s="26">
        <f t="shared" si="7"/>
        <v>397.2</v>
      </c>
      <c r="H64" s="25">
        <f>ROUND(ตั้งค่า!$C$20*G64,0)</f>
        <v>1589</v>
      </c>
      <c r="I64" s="25">
        <f>MAX(1,ROUND(E64/ตั้งค่า!$C$23,0))</f>
        <v>138</v>
      </c>
      <c r="J64" s="27">
        <f>ตั้งค่า!$C$20*ตั้งค่า!$C$18+ตั้งค่า!$C$21</f>
        <v>6.8</v>
      </c>
      <c r="K64" s="27">
        <f>ตั้งค่า!$C$10*A64^ตั้งค่า!$C$8+ตั้งค่า!$C$9</f>
        <v>263.08259479214257</v>
      </c>
      <c r="L64" s="25">
        <f t="shared" si="8"/>
        <v>2321.3170128718461</v>
      </c>
      <c r="M64" s="25">
        <f t="shared" si="9"/>
        <v>1396</v>
      </c>
      <c r="N64" s="25">
        <f>MAX(1,ROUND(M64*ตั้งค่า!$C$26*(1-ตั้งค่า!$C$27),0))</f>
        <v>558</v>
      </c>
      <c r="O64" s="25">
        <f>MAX(1,ROUND(M64*ตั้งค่า!$C$26*(1+ตั้งค่า!$C$27),0))</f>
        <v>838</v>
      </c>
      <c r="P64" s="25">
        <f t="shared" si="10"/>
        <v>2321</v>
      </c>
      <c r="Q64" s="27">
        <f t="shared" si="11"/>
        <v>263.04666666666668</v>
      </c>
      <c r="R64" s="26">
        <f t="shared" si="13"/>
        <v>85.963333333333352</v>
      </c>
    </row>
    <row r="65" spans="1:18">
      <c r="A65" s="3">
        <v>61</v>
      </c>
      <c r="B65" s="25">
        <f>ROUND(ตั้งค่า!$C$24*A65^ตั้งค่า!$C$25,0)</f>
        <v>3404715</v>
      </c>
      <c r="C65" s="25">
        <f t="shared" si="12"/>
        <v>50233500</v>
      </c>
      <c r="D65" s="26">
        <f>ROUND((ตั้งค่า!$C$12+ตั้งค่า!$C$13*A65)*(1+ตั้งค่า!$C$14)^(A65-1),1)</f>
        <v>433.1</v>
      </c>
      <c r="E65" s="25">
        <f>ROUND((ตั้งค่า!$C$15+ตั้งค่า!$C$16*A65)*(1+ตั้งค่า!$C$17)^(A65-1),0)</f>
        <v>1710</v>
      </c>
      <c r="F65" s="25">
        <f>ROUND(D65*ตั้งค่า!$C$22,0)</f>
        <v>22</v>
      </c>
      <c r="G65" s="26">
        <f t="shared" si="7"/>
        <v>411.1</v>
      </c>
      <c r="H65" s="25">
        <f>ROUND(ตั้งค่า!$C$20*G65,0)</f>
        <v>1644</v>
      </c>
      <c r="I65" s="25">
        <f>MAX(1,ROUND(E65/ตั้งค่า!$C$23,0))</f>
        <v>143</v>
      </c>
      <c r="J65" s="27">
        <f>ตั้งค่า!$C$20*ตั้งค่า!$C$18+ตั้งค่า!$C$21</f>
        <v>6.8</v>
      </c>
      <c r="K65" s="27">
        <f>ตั้งค่า!$C$10*A65^ตั้งค่า!$C$8+ตั้งค่า!$C$9</f>
        <v>271.904926450434</v>
      </c>
      <c r="L65" s="25">
        <f t="shared" si="8"/>
        <v>2399.1611157391239</v>
      </c>
      <c r="M65" s="25">
        <f t="shared" si="9"/>
        <v>1419</v>
      </c>
      <c r="N65" s="25">
        <f>MAX(1,ROUND(M65*ตั้งค่า!$C$26*(1-ตั้งค่า!$C$27),0))</f>
        <v>568</v>
      </c>
      <c r="O65" s="25">
        <f>MAX(1,ROUND(M65*ตั้งค่า!$C$26*(1+ตั้งค่า!$C$27),0))</f>
        <v>851</v>
      </c>
      <c r="P65" s="25">
        <f t="shared" si="10"/>
        <v>2400</v>
      </c>
      <c r="Q65" s="27">
        <f t="shared" si="11"/>
        <v>272</v>
      </c>
      <c r="R65" s="26">
        <f t="shared" si="13"/>
        <v>90.347444444444463</v>
      </c>
    </row>
    <row r="66" spans="1:18">
      <c r="A66" s="3">
        <v>62</v>
      </c>
      <c r="B66" s="25">
        <f>ROUND(ตั้งค่า!$C$24*A66^ตั้งค่า!$C$25,0)</f>
        <v>3574920</v>
      </c>
      <c r="C66" s="25">
        <f t="shared" si="12"/>
        <v>53638215</v>
      </c>
      <c r="D66" s="26">
        <f>ROUND((ตั้งค่า!$C$12+ตั้งค่า!$C$13*A66)*(1+ตั้งค่า!$C$14)^(A66-1),1)</f>
        <v>448.5</v>
      </c>
      <c r="E66" s="25">
        <f>ROUND((ตั้งค่า!$C$15+ตั้งค่า!$C$16*A66)*(1+ตั้งค่า!$C$17)^(A66-1),0)</f>
        <v>1761</v>
      </c>
      <c r="F66" s="25">
        <f>ROUND(D66*ตั้งค่า!$C$22,0)</f>
        <v>22</v>
      </c>
      <c r="G66" s="26">
        <f t="shared" si="7"/>
        <v>426.5</v>
      </c>
      <c r="H66" s="25">
        <f>ROUND(ตั้งค่า!$C$20*G66,0)</f>
        <v>1706</v>
      </c>
      <c r="I66" s="25">
        <f>MAX(1,ROUND(E66/ตั้งค่า!$C$23,0))</f>
        <v>147</v>
      </c>
      <c r="J66" s="27">
        <f>ตั้งค่า!$C$20*ตั้งค่า!$C$18+ตั้งค่า!$C$21</f>
        <v>6.8</v>
      </c>
      <c r="K66" s="27">
        <f>ตั้งค่า!$C$10*A66^ตั้งค่า!$C$8+ตั้งค่า!$C$9</f>
        <v>280.87308177249889</v>
      </c>
      <c r="L66" s="25">
        <f t="shared" si="8"/>
        <v>2478.2918979926371</v>
      </c>
      <c r="M66" s="25">
        <f t="shared" si="9"/>
        <v>1442</v>
      </c>
      <c r="N66" s="25">
        <f>MAX(1,ROUND(M66*ตั้งค่า!$C$26*(1-ตั้งค่า!$C$27),0))</f>
        <v>577</v>
      </c>
      <c r="O66" s="25">
        <f>MAX(1,ROUND(M66*ตั้งค่า!$C$26*(1+ตั้งค่า!$C$27),0))</f>
        <v>865</v>
      </c>
      <c r="P66" s="25">
        <f t="shared" si="10"/>
        <v>2480</v>
      </c>
      <c r="Q66" s="27">
        <f t="shared" si="11"/>
        <v>281.06666666666666</v>
      </c>
      <c r="R66" s="26">
        <f t="shared" si="13"/>
        <v>94.880777777777794</v>
      </c>
    </row>
    <row r="67" spans="1:18">
      <c r="A67" s="3">
        <v>63</v>
      </c>
      <c r="B67" s="25">
        <f>ROUND(ตั้งค่า!$C$24*A67^ตั้งค่า!$C$25,0)</f>
        <v>3750705</v>
      </c>
      <c r="C67" s="25">
        <f t="shared" si="12"/>
        <v>57213135</v>
      </c>
      <c r="D67" s="26">
        <f>ROUND((ตั้งค่า!$C$12+ตั้งค่า!$C$13*A67)*(1+ตั้งค่า!$C$14)^(A67-1),1)</f>
        <v>464.2</v>
      </c>
      <c r="E67" s="25">
        <f>ROUND((ตั้งค่า!$C$15+ตั้งค่า!$C$16*A67)*(1+ตั้งค่า!$C$17)^(A67-1),0)</f>
        <v>1812</v>
      </c>
      <c r="F67" s="25">
        <f>ROUND(D67*ตั้งค่า!$C$22,0)</f>
        <v>23</v>
      </c>
      <c r="G67" s="26">
        <f t="shared" si="7"/>
        <v>441.2</v>
      </c>
      <c r="H67" s="25">
        <f>ROUND(ตั้งค่า!$C$20*G67,0)</f>
        <v>1765</v>
      </c>
      <c r="I67" s="25">
        <f>MAX(1,ROUND(E67/ตั้งค่า!$C$23,0))</f>
        <v>151</v>
      </c>
      <c r="J67" s="27">
        <f>ตั้งค่า!$C$20*ตั้งค่า!$C$18+ตั้งค่า!$C$21</f>
        <v>6.8</v>
      </c>
      <c r="K67" s="27">
        <f>ตั้งค่า!$C$10*A67^ตั้งค่า!$C$8+ตั้งค่า!$C$9</f>
        <v>289.98706075833718</v>
      </c>
      <c r="L67" s="25">
        <f t="shared" si="8"/>
        <v>2558.7093596323871</v>
      </c>
      <c r="M67" s="25">
        <f t="shared" si="9"/>
        <v>1466</v>
      </c>
      <c r="N67" s="25">
        <f>MAX(1,ROUND(M67*ตั้งค่า!$C$26*(1-ตั้งค่า!$C$27),0))</f>
        <v>586</v>
      </c>
      <c r="O67" s="25">
        <f>MAX(1,ROUND(M67*ตั้งค่า!$C$26*(1+ตั้งค่า!$C$27),0))</f>
        <v>880</v>
      </c>
      <c r="P67" s="25">
        <f t="shared" si="10"/>
        <v>2559</v>
      </c>
      <c r="Q67" s="27">
        <f t="shared" si="11"/>
        <v>290.02000000000004</v>
      </c>
      <c r="R67" s="26">
        <f t="shared" si="13"/>
        <v>99.565222222222232</v>
      </c>
    </row>
    <row r="68" spans="1:18">
      <c r="A68" s="3">
        <v>64</v>
      </c>
      <c r="B68" s="25">
        <f>ROUND(ตั้งค่า!$C$24*A68^ตั้งค่า!$C$25,0)</f>
        <v>3932160</v>
      </c>
      <c r="C68" s="25">
        <f t="shared" si="12"/>
        <v>60963840</v>
      </c>
      <c r="D68" s="26">
        <f>ROUND((ตั้งค่า!$C$12+ตั้งค่า!$C$13*A68)*(1+ตั้งค่า!$C$14)^(A68-1),1)</f>
        <v>480.5</v>
      </c>
      <c r="E68" s="25">
        <f>ROUND((ตั้งค่า!$C$15+ตั้งค่า!$C$16*A68)*(1+ตั้งค่า!$C$17)^(A68-1),0)</f>
        <v>1865</v>
      </c>
      <c r="F68" s="25">
        <f>ROUND(D68*ตั้งค่า!$C$22,0)</f>
        <v>24</v>
      </c>
      <c r="G68" s="26">
        <f t="shared" si="7"/>
        <v>456.5</v>
      </c>
      <c r="H68" s="25">
        <f>ROUND(ตั้งค่า!$C$20*G68,0)</f>
        <v>1826</v>
      </c>
      <c r="I68" s="25">
        <f>MAX(1,ROUND(E68/ตั้งค่า!$C$23,0))</f>
        <v>155</v>
      </c>
      <c r="J68" s="27">
        <f>ตั้งค่า!$C$20*ตั้งค่า!$C$18+ตั้งค่า!$C$21</f>
        <v>6.8</v>
      </c>
      <c r="K68" s="27">
        <f>ตั้งค่า!$C$10*A68^ตั้งค่า!$C$8+ตั้งค่า!$C$9</f>
        <v>299.24686340794887</v>
      </c>
      <c r="L68" s="25">
        <f t="shared" si="8"/>
        <v>2640.4135006583724</v>
      </c>
      <c r="M68" s="25">
        <f t="shared" si="9"/>
        <v>1489</v>
      </c>
      <c r="N68" s="25">
        <f>MAX(1,ROUND(M68*ตั้งค่า!$C$26*(1-ตั้งค่า!$C$27),0))</f>
        <v>596</v>
      </c>
      <c r="O68" s="25">
        <f>MAX(1,ROUND(M68*ตั้งค่า!$C$26*(1+ตั้งค่า!$C$27),0))</f>
        <v>893</v>
      </c>
      <c r="P68" s="25">
        <f t="shared" si="10"/>
        <v>2641</v>
      </c>
      <c r="Q68" s="27">
        <f t="shared" si="11"/>
        <v>299.31333333333333</v>
      </c>
      <c r="R68" s="26">
        <f t="shared" si="13"/>
        <v>104.39888888888891</v>
      </c>
    </row>
    <row r="69" spans="1:18">
      <c r="A69" s="3">
        <v>65</v>
      </c>
      <c r="B69" s="25">
        <f>ROUND(ตั้งค่า!$C$24*A69^ตั้งค่า!$C$25,0)</f>
        <v>4119375</v>
      </c>
      <c r="C69" s="25">
        <f t="shared" si="12"/>
        <v>64896000</v>
      </c>
      <c r="D69" s="26">
        <f>ROUND((ตั้งค่า!$C$12+ตั้งค่า!$C$13*A69)*(1+ตั้งค่า!$C$14)^(A69-1),1)</f>
        <v>497.2</v>
      </c>
      <c r="E69" s="25">
        <f>ROUND((ตั้งค่า!$C$15+ตั้งค่า!$C$16*A69)*(1+ตั้งค่า!$C$17)^(A69-1),0)</f>
        <v>1919</v>
      </c>
      <c r="F69" s="25">
        <f>ROUND(D69*ตั้งค่า!$C$22,0)</f>
        <v>25</v>
      </c>
      <c r="G69" s="26">
        <f t="shared" ref="G69:G100" si="14">MAX(1,D69-F69)</f>
        <v>472.2</v>
      </c>
      <c r="H69" s="25">
        <f>ROUND(ตั้งค่า!$C$20*G69,0)</f>
        <v>1889</v>
      </c>
      <c r="I69" s="25">
        <f>MAX(1,ROUND(E69/ตั้งค่า!$C$23,0))</f>
        <v>160</v>
      </c>
      <c r="J69" s="27">
        <f>ตั้งค่า!$C$20*ตั้งค่า!$C$18+ตั้งค่า!$C$21</f>
        <v>6.8</v>
      </c>
      <c r="K69" s="27">
        <f>ตั้งค่า!$C$10*A69^ตั้งค่า!$C$8+ตั้งค่า!$C$9</f>
        <v>308.65248972133395</v>
      </c>
      <c r="L69" s="25">
        <f t="shared" ref="L69:L100" si="15">K69*60/J69</f>
        <v>2723.4043210705936</v>
      </c>
      <c r="M69" s="25">
        <f t="shared" ref="M69:M100" si="16">MAX(1,ROUND(B69/L69,0))</f>
        <v>1513</v>
      </c>
      <c r="N69" s="25">
        <f>MAX(1,ROUND(M69*ตั้งค่า!$C$26*(1-ตั้งค่า!$C$27),0))</f>
        <v>605</v>
      </c>
      <c r="O69" s="25">
        <f>MAX(1,ROUND(M69*ตั้งค่า!$C$26*(1+ตั้งค่า!$C$27),0))</f>
        <v>908</v>
      </c>
      <c r="P69" s="25">
        <f t="shared" ref="P69:P104" si="17">ROUNDUP(B69/M69,0)</f>
        <v>2723</v>
      </c>
      <c r="Q69" s="27">
        <f t="shared" ref="Q69:Q100" si="18">P69*J69/60</f>
        <v>308.60666666666663</v>
      </c>
      <c r="R69" s="26">
        <f t="shared" si="13"/>
        <v>109.38744444444445</v>
      </c>
    </row>
    <row r="70" spans="1:18">
      <c r="A70" s="3">
        <v>66</v>
      </c>
      <c r="B70" s="25">
        <f>ROUND(ตั้งค่า!$C$24*A70^ตั้งค่า!$C$25,0)</f>
        <v>4312440</v>
      </c>
      <c r="C70" s="25">
        <f t="shared" ref="C70:C104" si="19">C69+B69</f>
        <v>69015375</v>
      </c>
      <c r="D70" s="26">
        <f>ROUND((ตั้งค่า!$C$12+ตั้งค่า!$C$13*A70)*(1+ตั้งค่า!$C$14)^(A70-1),1)</f>
        <v>514.4</v>
      </c>
      <c r="E70" s="25">
        <f>ROUND((ตั้งค่า!$C$15+ตั้งค่า!$C$16*A70)*(1+ตั้งค่า!$C$17)^(A70-1),0)</f>
        <v>1974</v>
      </c>
      <c r="F70" s="25">
        <f>ROUND(D70*ตั้งค่า!$C$22,0)</f>
        <v>26</v>
      </c>
      <c r="G70" s="26">
        <f t="shared" si="14"/>
        <v>488.4</v>
      </c>
      <c r="H70" s="25">
        <f>ROUND(ตั้งค่า!$C$20*G70,0)</f>
        <v>1954</v>
      </c>
      <c r="I70" s="25">
        <f>MAX(1,ROUND(E70/ตั้งค่า!$C$23,0))</f>
        <v>165</v>
      </c>
      <c r="J70" s="27">
        <f>ตั้งค่า!$C$20*ตั้งค่า!$C$18+ตั้งค่า!$C$21</f>
        <v>6.8</v>
      </c>
      <c r="K70" s="27">
        <f>ตั้งค่า!$C$10*A70^ตั้งค่า!$C$8+ตั้งค่า!$C$9</f>
        <v>318.20393969849249</v>
      </c>
      <c r="L70" s="25">
        <f t="shared" si="15"/>
        <v>2807.6818208690511</v>
      </c>
      <c r="M70" s="25">
        <f t="shared" si="16"/>
        <v>1536</v>
      </c>
      <c r="N70" s="25">
        <f>MAX(1,ROUND(M70*ตั้งค่า!$C$26*(1-ตั้งค่า!$C$27),0))</f>
        <v>614</v>
      </c>
      <c r="O70" s="25">
        <f>MAX(1,ROUND(M70*ตั้งค่า!$C$26*(1+ตั้งค่า!$C$27),0))</f>
        <v>922</v>
      </c>
      <c r="P70" s="25">
        <f t="shared" si="17"/>
        <v>2808</v>
      </c>
      <c r="Q70" s="27">
        <f t="shared" si="18"/>
        <v>318.23999999999995</v>
      </c>
      <c r="R70" s="26">
        <f t="shared" ref="R70:R104" si="20">R69+Q69/60</f>
        <v>114.5308888888889</v>
      </c>
    </row>
    <row r="71" spans="1:18">
      <c r="A71" s="3">
        <v>67</v>
      </c>
      <c r="B71" s="25">
        <f>ROUND(ตั้งค่า!$C$24*A71^ตั้งค่า!$C$25,0)</f>
        <v>4511445</v>
      </c>
      <c r="C71" s="25">
        <f t="shared" si="19"/>
        <v>73327815</v>
      </c>
      <c r="D71" s="26">
        <f>ROUND((ตั้งค่า!$C$12+ตั้งค่า!$C$13*A71)*(1+ตั้งค่า!$C$14)^(A71-1),1)</f>
        <v>532.1</v>
      </c>
      <c r="E71" s="25">
        <f>ROUND((ตั้งค่า!$C$15+ตั้งค่า!$C$16*A71)*(1+ตั้งค่า!$C$17)^(A71-1),0)</f>
        <v>2030</v>
      </c>
      <c r="F71" s="25">
        <f>ROUND(D71*ตั้งค่า!$C$22,0)</f>
        <v>27</v>
      </c>
      <c r="G71" s="26">
        <f t="shared" si="14"/>
        <v>505.1</v>
      </c>
      <c r="H71" s="25">
        <f>ROUND(ตั้งค่า!$C$20*G71,0)</f>
        <v>2020</v>
      </c>
      <c r="I71" s="25">
        <f>MAX(1,ROUND(E71/ตั้งค่า!$C$23,0))</f>
        <v>169</v>
      </c>
      <c r="J71" s="27">
        <f>ตั้งค่า!$C$20*ตั้งค่า!$C$18+ตั้งค่า!$C$21</f>
        <v>6.8</v>
      </c>
      <c r="K71" s="27">
        <f>ตั้งค่า!$C$10*A71^ตั้งค่า!$C$8+ตั้งค่า!$C$9</f>
        <v>327.90121333942443</v>
      </c>
      <c r="L71" s="25">
        <f t="shared" si="15"/>
        <v>2893.2460000537449</v>
      </c>
      <c r="M71" s="25">
        <f t="shared" si="16"/>
        <v>1559</v>
      </c>
      <c r="N71" s="25">
        <f>MAX(1,ROUND(M71*ตั้งค่า!$C$26*(1-ตั้งค่า!$C$27),0))</f>
        <v>624</v>
      </c>
      <c r="O71" s="25">
        <f>MAX(1,ROUND(M71*ตั้งค่า!$C$26*(1+ตั้งค่า!$C$27),0))</f>
        <v>935</v>
      </c>
      <c r="P71" s="25">
        <f t="shared" si="17"/>
        <v>2894</v>
      </c>
      <c r="Q71" s="27">
        <f t="shared" si="18"/>
        <v>327.98666666666668</v>
      </c>
      <c r="R71" s="26">
        <f t="shared" si="20"/>
        <v>119.8348888888889</v>
      </c>
    </row>
    <row r="72" spans="1:18">
      <c r="A72" s="3">
        <v>68</v>
      </c>
      <c r="B72" s="25">
        <f>ROUND(ตั้งค่า!$C$24*A72^ตั้งค่า!$C$25,0)</f>
        <v>4716480</v>
      </c>
      <c r="C72" s="25">
        <f t="shared" si="19"/>
        <v>77839260</v>
      </c>
      <c r="D72" s="26">
        <f>ROUND((ตั้งค่า!$C$12+ตั้งค่า!$C$13*A72)*(1+ตั้งค่า!$C$14)^(A72-1),1)</f>
        <v>550.29999999999995</v>
      </c>
      <c r="E72" s="25">
        <f>ROUND((ตั้งค่า!$C$15+ตั้งค่า!$C$16*A72)*(1+ตั้งค่า!$C$17)^(A72-1),0)</f>
        <v>2088</v>
      </c>
      <c r="F72" s="25">
        <f>ROUND(D72*ตั้งค่า!$C$22,0)</f>
        <v>28</v>
      </c>
      <c r="G72" s="26">
        <f t="shared" si="14"/>
        <v>522.29999999999995</v>
      </c>
      <c r="H72" s="25">
        <f>ROUND(ตั้งค่า!$C$20*G72,0)</f>
        <v>2089</v>
      </c>
      <c r="I72" s="25">
        <f>MAX(1,ROUND(E72/ตั้งค่า!$C$23,0))</f>
        <v>174</v>
      </c>
      <c r="J72" s="27">
        <f>ตั้งค่า!$C$20*ตั้งค่า!$C$18+ตั้งค่า!$C$21</f>
        <v>6.8</v>
      </c>
      <c r="K72" s="27">
        <f>ตั้งค่า!$C$10*A72^ตั้งค่า!$C$8+ตั้งค่า!$C$9</f>
        <v>337.74431064412977</v>
      </c>
      <c r="L72" s="25">
        <f t="shared" si="15"/>
        <v>2980.0968586246745</v>
      </c>
      <c r="M72" s="25">
        <f t="shared" si="16"/>
        <v>1583</v>
      </c>
      <c r="N72" s="25">
        <f>MAX(1,ROUND(M72*ตั้งค่า!$C$26*(1-ตั้งค่า!$C$27),0))</f>
        <v>633</v>
      </c>
      <c r="O72" s="25">
        <f>MAX(1,ROUND(M72*ตั้งค่า!$C$26*(1+ตั้งค่า!$C$27),0))</f>
        <v>950</v>
      </c>
      <c r="P72" s="25">
        <f t="shared" si="17"/>
        <v>2980</v>
      </c>
      <c r="Q72" s="27">
        <f t="shared" si="18"/>
        <v>337.73333333333335</v>
      </c>
      <c r="R72" s="26">
        <f t="shared" si="20"/>
        <v>125.30133333333335</v>
      </c>
    </row>
    <row r="73" spans="1:18">
      <c r="A73" s="3">
        <v>69</v>
      </c>
      <c r="B73" s="25">
        <f>ROUND(ตั้งค่า!$C$24*A73^ตั้งค่า!$C$25,0)</f>
        <v>4927635</v>
      </c>
      <c r="C73" s="25">
        <f t="shared" si="19"/>
        <v>82555740</v>
      </c>
      <c r="D73" s="26">
        <f>ROUND((ตั้งค่า!$C$12+ตั้งค่า!$C$13*A73)*(1+ตั้งค่า!$C$14)^(A73-1),1)</f>
        <v>568.9</v>
      </c>
      <c r="E73" s="25">
        <f>ROUND((ตั้งค่า!$C$15+ตั้งค่า!$C$16*A73)*(1+ตั้งค่า!$C$17)^(A73-1),0)</f>
        <v>2147</v>
      </c>
      <c r="F73" s="25">
        <f>ROUND(D73*ตั้งค่า!$C$22,0)</f>
        <v>28</v>
      </c>
      <c r="G73" s="26">
        <f t="shared" si="14"/>
        <v>540.9</v>
      </c>
      <c r="H73" s="25">
        <f>ROUND(ตั้งค่า!$C$20*G73,0)</f>
        <v>2164</v>
      </c>
      <c r="I73" s="25">
        <f>MAX(1,ROUND(E73/ตั้งค่า!$C$23,0))</f>
        <v>179</v>
      </c>
      <c r="J73" s="27">
        <f>ตั้งค่า!$C$20*ตั้งค่า!$C$18+ตั้งค่า!$C$21</f>
        <v>6.8</v>
      </c>
      <c r="K73" s="27">
        <f>ตั้งค่า!$C$10*A73^ตั้งค่า!$C$8+ตั้งค่า!$C$9</f>
        <v>347.73323161260851</v>
      </c>
      <c r="L73" s="25">
        <f t="shared" si="15"/>
        <v>3068.23439658184</v>
      </c>
      <c r="M73" s="25">
        <f t="shared" si="16"/>
        <v>1606</v>
      </c>
      <c r="N73" s="25">
        <f>MAX(1,ROUND(M73*ตั้งค่า!$C$26*(1-ตั้งค่า!$C$27),0))</f>
        <v>642</v>
      </c>
      <c r="O73" s="25">
        <f>MAX(1,ROUND(M73*ตั้งค่า!$C$26*(1+ตั้งค่า!$C$27),0))</f>
        <v>964</v>
      </c>
      <c r="P73" s="25">
        <f t="shared" si="17"/>
        <v>3069</v>
      </c>
      <c r="Q73" s="27">
        <f t="shared" si="18"/>
        <v>347.82</v>
      </c>
      <c r="R73" s="26">
        <f t="shared" si="20"/>
        <v>130.93022222222223</v>
      </c>
    </row>
    <row r="74" spans="1:18">
      <c r="A74" s="3">
        <v>70</v>
      </c>
      <c r="B74" s="25">
        <f>ROUND(ตั้งค่า!$C$24*A74^ตั้งค่า!$C$25,0)</f>
        <v>5145000</v>
      </c>
      <c r="C74" s="25">
        <f t="shared" si="19"/>
        <v>87483375</v>
      </c>
      <c r="D74" s="26">
        <f>ROUND((ตั้งค่า!$C$12+ตั้งค่า!$C$13*A74)*(1+ตั้งค่า!$C$14)^(A74-1),1)</f>
        <v>588.20000000000005</v>
      </c>
      <c r="E74" s="25">
        <f>ROUND((ตั้งค่า!$C$15+ตั้งค่า!$C$16*A74)*(1+ตั้งค่า!$C$17)^(A74-1),0)</f>
        <v>2207</v>
      </c>
      <c r="F74" s="25">
        <f>ROUND(D74*ตั้งค่า!$C$22,0)</f>
        <v>29</v>
      </c>
      <c r="G74" s="26">
        <f t="shared" si="14"/>
        <v>559.20000000000005</v>
      </c>
      <c r="H74" s="25">
        <f>ROUND(ตั้งค่า!$C$20*G74,0)</f>
        <v>2237</v>
      </c>
      <c r="I74" s="25">
        <f>MAX(1,ROUND(E74/ตั้งค่า!$C$23,0))</f>
        <v>184</v>
      </c>
      <c r="J74" s="27">
        <f>ตั้งค่า!$C$20*ตั้งค่า!$C$18+ตั้งค่า!$C$21</f>
        <v>6.8</v>
      </c>
      <c r="K74" s="27">
        <f>ตั้งค่า!$C$10*A74^ตั้งค่า!$C$8+ตั้งค่า!$C$9</f>
        <v>357.8679762448607</v>
      </c>
      <c r="L74" s="25">
        <f t="shared" si="15"/>
        <v>3157.6586139252413</v>
      </c>
      <c r="M74" s="25">
        <f t="shared" si="16"/>
        <v>1629</v>
      </c>
      <c r="N74" s="25">
        <f>MAX(1,ROUND(M74*ตั้งค่า!$C$26*(1-ตั้งค่า!$C$27),0))</f>
        <v>652</v>
      </c>
      <c r="O74" s="25">
        <f>MAX(1,ROUND(M74*ตั้งค่า!$C$26*(1+ตั้งค่า!$C$27),0))</f>
        <v>977</v>
      </c>
      <c r="P74" s="25">
        <f t="shared" si="17"/>
        <v>3159</v>
      </c>
      <c r="Q74" s="27">
        <f t="shared" si="18"/>
        <v>358.02000000000004</v>
      </c>
      <c r="R74" s="26">
        <f t="shared" si="20"/>
        <v>136.72722222222222</v>
      </c>
    </row>
    <row r="75" spans="1:18">
      <c r="A75" s="3">
        <v>71</v>
      </c>
      <c r="B75" s="25">
        <f>ROUND(ตั้งค่า!$C$24*A75^ตั้งค่า!$C$25,0)</f>
        <v>5368665</v>
      </c>
      <c r="C75" s="25">
        <f t="shared" si="19"/>
        <v>92628375</v>
      </c>
      <c r="D75" s="26">
        <f>ROUND((ตั้งค่า!$C$12+ตั้งค่า!$C$13*A75)*(1+ตั้งค่า!$C$14)^(A75-1),1)</f>
        <v>607.9</v>
      </c>
      <c r="E75" s="25">
        <f>ROUND((ตั้งค่า!$C$15+ตั้งค่า!$C$16*A75)*(1+ตั้งค่า!$C$17)^(A75-1),0)</f>
        <v>2268</v>
      </c>
      <c r="F75" s="25">
        <f>ROUND(D75*ตั้งค่า!$C$22,0)</f>
        <v>30</v>
      </c>
      <c r="G75" s="26">
        <f t="shared" si="14"/>
        <v>577.9</v>
      </c>
      <c r="H75" s="25">
        <f>ROUND(ตั้งค่า!$C$20*G75,0)</f>
        <v>2312</v>
      </c>
      <c r="I75" s="25">
        <f>MAX(1,ROUND(E75/ตั้งค่า!$C$23,0))</f>
        <v>189</v>
      </c>
      <c r="J75" s="27">
        <f>ตั้งค่า!$C$20*ตั้งค่า!$C$18+ตั้งค่า!$C$21</f>
        <v>6.8</v>
      </c>
      <c r="K75" s="27">
        <f>ตั้งค่า!$C$10*A75^ตั้งค่า!$C$8+ตั้งค่า!$C$9</f>
        <v>368.14854454088629</v>
      </c>
      <c r="L75" s="25">
        <f t="shared" si="15"/>
        <v>3248.3695106548794</v>
      </c>
      <c r="M75" s="25">
        <f t="shared" si="16"/>
        <v>1653</v>
      </c>
      <c r="N75" s="25">
        <f>MAX(1,ROUND(M75*ตั้งค่า!$C$26*(1-ตั้งค่า!$C$27),0))</f>
        <v>661</v>
      </c>
      <c r="O75" s="25">
        <f>MAX(1,ROUND(M75*ตั้งค่า!$C$26*(1+ตั้งค่า!$C$27),0))</f>
        <v>992</v>
      </c>
      <c r="P75" s="25">
        <f t="shared" si="17"/>
        <v>3248</v>
      </c>
      <c r="Q75" s="27">
        <f t="shared" si="18"/>
        <v>368.10666666666663</v>
      </c>
      <c r="R75" s="26">
        <f t="shared" si="20"/>
        <v>142.69422222222224</v>
      </c>
    </row>
    <row r="76" spans="1:18">
      <c r="A76" s="3">
        <v>72</v>
      </c>
      <c r="B76" s="25">
        <f>ROUND(ตั้งค่า!$C$24*A76^ตั้งค่า!$C$25,0)</f>
        <v>5598720</v>
      </c>
      <c r="C76" s="25">
        <f t="shared" si="19"/>
        <v>97997040</v>
      </c>
      <c r="D76" s="26">
        <f>ROUND((ตั้งค่า!$C$12+ตั้งค่า!$C$13*A76)*(1+ตั้งค่า!$C$14)^(A76-1),1)</f>
        <v>628.29999999999995</v>
      </c>
      <c r="E76" s="25">
        <f>ROUND((ตั้งค่า!$C$15+ตั้งค่า!$C$16*A76)*(1+ตั้งค่า!$C$17)^(A76-1),0)</f>
        <v>2331</v>
      </c>
      <c r="F76" s="25">
        <f>ROUND(D76*ตั้งค่า!$C$22,0)</f>
        <v>31</v>
      </c>
      <c r="G76" s="26">
        <f t="shared" si="14"/>
        <v>597.29999999999995</v>
      </c>
      <c r="H76" s="25">
        <f>ROUND(ตั้งค่า!$C$20*G76,0)</f>
        <v>2389</v>
      </c>
      <c r="I76" s="25">
        <f>MAX(1,ROUND(E76/ตั้งค่า!$C$23,0))</f>
        <v>194</v>
      </c>
      <c r="J76" s="27">
        <f>ตั้งค่า!$C$20*ตั้งค่า!$C$18+ตั้งค่า!$C$21</f>
        <v>6.8</v>
      </c>
      <c r="K76" s="27">
        <f>ตั้งค่า!$C$10*A76^ตั้งค่า!$C$8+ตั้งค่า!$C$9</f>
        <v>378.57493650068528</v>
      </c>
      <c r="L76" s="25">
        <f t="shared" si="15"/>
        <v>3340.3670867707528</v>
      </c>
      <c r="M76" s="25">
        <f t="shared" si="16"/>
        <v>1676</v>
      </c>
      <c r="N76" s="25">
        <f>MAX(1,ROUND(M76*ตั้งค่า!$C$26*(1-ตั้งค่า!$C$27),0))</f>
        <v>670</v>
      </c>
      <c r="O76" s="25">
        <f>MAX(1,ROUND(M76*ตั้งค่า!$C$26*(1+ตั้งค่า!$C$27),0))</f>
        <v>1006</v>
      </c>
      <c r="P76" s="25">
        <f t="shared" si="17"/>
        <v>3341</v>
      </c>
      <c r="Q76" s="27">
        <f t="shared" si="18"/>
        <v>378.64666666666665</v>
      </c>
      <c r="R76" s="26">
        <f t="shared" si="20"/>
        <v>148.82933333333335</v>
      </c>
    </row>
    <row r="77" spans="1:18">
      <c r="A77" s="3">
        <v>73</v>
      </c>
      <c r="B77" s="25">
        <f>ROUND(ตั้งค่า!$C$24*A77^ตั้งค่า!$C$25,0)</f>
        <v>5835255</v>
      </c>
      <c r="C77" s="25">
        <f t="shared" si="19"/>
        <v>103595760</v>
      </c>
      <c r="D77" s="26">
        <f>ROUND((ตั้งค่า!$C$12+ตั้งค่า!$C$13*A77)*(1+ตั้งค่า!$C$14)^(A77-1),1)</f>
        <v>649.1</v>
      </c>
      <c r="E77" s="25">
        <f>ROUND((ตั้งค่า!$C$15+ตั้งค่า!$C$16*A77)*(1+ตั้งค่า!$C$17)^(A77-1),0)</f>
        <v>2395</v>
      </c>
      <c r="F77" s="25">
        <f>ROUND(D77*ตั้งค่า!$C$22,0)</f>
        <v>32</v>
      </c>
      <c r="G77" s="26">
        <f t="shared" si="14"/>
        <v>617.1</v>
      </c>
      <c r="H77" s="25">
        <f>ROUND(ตั้งค่า!$C$20*G77,0)</f>
        <v>2468</v>
      </c>
      <c r="I77" s="25">
        <f>MAX(1,ROUND(E77/ตั้งค่า!$C$23,0))</f>
        <v>200</v>
      </c>
      <c r="J77" s="27">
        <f>ตั้งค่า!$C$20*ตั้งค่า!$C$18+ตั้งค่า!$C$21</f>
        <v>6.8</v>
      </c>
      <c r="K77" s="27">
        <f>ตั้งค่า!$C$10*A77^ตั้งค่า!$C$8+ตั้งค่า!$C$9</f>
        <v>389.14715212425767</v>
      </c>
      <c r="L77" s="25">
        <f t="shared" si="15"/>
        <v>3433.6513422728622</v>
      </c>
      <c r="M77" s="25">
        <f t="shared" si="16"/>
        <v>1699</v>
      </c>
      <c r="N77" s="25">
        <f>MAX(1,ROUND(M77*ตั้งค่า!$C$26*(1-ตั้งค่า!$C$27),0))</f>
        <v>680</v>
      </c>
      <c r="O77" s="25">
        <f>MAX(1,ROUND(M77*ตั้งค่า!$C$26*(1+ตั้งค่า!$C$27),0))</f>
        <v>1019</v>
      </c>
      <c r="P77" s="25">
        <f t="shared" si="17"/>
        <v>3435</v>
      </c>
      <c r="Q77" s="27">
        <f t="shared" si="18"/>
        <v>389.3</v>
      </c>
      <c r="R77" s="26">
        <f t="shared" si="20"/>
        <v>155.14011111111114</v>
      </c>
    </row>
    <row r="78" spans="1:18">
      <c r="A78" s="3">
        <v>74</v>
      </c>
      <c r="B78" s="25">
        <f>ROUND(ตั้งค่า!$C$24*A78^ตั้งค่า!$C$25,0)</f>
        <v>6078360</v>
      </c>
      <c r="C78" s="25">
        <f t="shared" si="19"/>
        <v>109431015</v>
      </c>
      <c r="D78" s="26">
        <f>ROUND((ตั้งค่า!$C$12+ตั้งค่า!$C$13*A78)*(1+ตั้งค่า!$C$14)^(A78-1),1)</f>
        <v>670.6</v>
      </c>
      <c r="E78" s="25">
        <f>ROUND((ตั้งค่า!$C$15+ตั้งค่า!$C$16*A78)*(1+ตั้งค่า!$C$17)^(A78-1),0)</f>
        <v>2461</v>
      </c>
      <c r="F78" s="25">
        <f>ROUND(D78*ตั้งค่า!$C$22,0)</f>
        <v>34</v>
      </c>
      <c r="G78" s="26">
        <f t="shared" si="14"/>
        <v>636.6</v>
      </c>
      <c r="H78" s="25">
        <f>ROUND(ตั้งค่า!$C$20*G78,0)</f>
        <v>2546</v>
      </c>
      <c r="I78" s="25">
        <f>MAX(1,ROUND(E78/ตั้งค่า!$C$23,0))</f>
        <v>205</v>
      </c>
      <c r="J78" s="27">
        <f>ตั้งค่า!$C$20*ตั้งค่า!$C$18+ตั้งค่า!$C$21</f>
        <v>6.8</v>
      </c>
      <c r="K78" s="27">
        <f>ตั้งค่า!$C$10*A78^ตั้งค่า!$C$8+ตั้งค่า!$C$9</f>
        <v>399.86519141160352</v>
      </c>
      <c r="L78" s="25">
        <f t="shared" si="15"/>
        <v>3528.2222771612078</v>
      </c>
      <c r="M78" s="25">
        <f t="shared" si="16"/>
        <v>1723</v>
      </c>
      <c r="N78" s="25">
        <f>MAX(1,ROUND(M78*ตั้งค่า!$C$26*(1-ตั้งค่า!$C$27),0))</f>
        <v>689</v>
      </c>
      <c r="O78" s="25">
        <f>MAX(1,ROUND(M78*ตั้งค่า!$C$26*(1+ตั้งค่า!$C$27),0))</f>
        <v>1034</v>
      </c>
      <c r="P78" s="25">
        <f t="shared" si="17"/>
        <v>3528</v>
      </c>
      <c r="Q78" s="27">
        <f t="shared" si="18"/>
        <v>399.84</v>
      </c>
      <c r="R78" s="26">
        <f t="shared" si="20"/>
        <v>161.62844444444448</v>
      </c>
    </row>
    <row r="79" spans="1:18">
      <c r="A79" s="3">
        <v>75</v>
      </c>
      <c r="B79" s="25">
        <f>ROUND(ตั้งค่า!$C$24*A79^ตั้งค่า!$C$25,0)</f>
        <v>6328125</v>
      </c>
      <c r="C79" s="25">
        <f t="shared" si="19"/>
        <v>115509375</v>
      </c>
      <c r="D79" s="26">
        <f>ROUND((ตั้งค่า!$C$12+ตั้งค่า!$C$13*A79)*(1+ตั้งค่า!$C$14)^(A79-1),1)</f>
        <v>692.7</v>
      </c>
      <c r="E79" s="25">
        <f>ROUND((ตั้งค่า!$C$15+ตั้งค่า!$C$16*A79)*(1+ตั้งค่า!$C$17)^(A79-1),0)</f>
        <v>2528</v>
      </c>
      <c r="F79" s="25">
        <f>ROUND(D79*ตั้งค่า!$C$22,0)</f>
        <v>35</v>
      </c>
      <c r="G79" s="26">
        <f t="shared" si="14"/>
        <v>657.7</v>
      </c>
      <c r="H79" s="25">
        <f>ROUND(ตั้งค่า!$C$20*G79,0)</f>
        <v>2631</v>
      </c>
      <c r="I79" s="25">
        <f>MAX(1,ROUND(E79/ตั้งค่า!$C$23,0))</f>
        <v>211</v>
      </c>
      <c r="J79" s="27">
        <f>ตั้งค่า!$C$20*ตั้งค่า!$C$18+ตั้งค่า!$C$21</f>
        <v>6.8</v>
      </c>
      <c r="K79" s="27">
        <f>ตั้งค่า!$C$10*A79^ตั้งค่า!$C$8+ตั้งค่า!$C$9</f>
        <v>410.72905436272276</v>
      </c>
      <c r="L79" s="25">
        <f t="shared" si="15"/>
        <v>3624.0798914357892</v>
      </c>
      <c r="M79" s="25">
        <f t="shared" si="16"/>
        <v>1746</v>
      </c>
      <c r="N79" s="25">
        <f>MAX(1,ROUND(M79*ตั้งค่า!$C$26*(1-ตั้งค่า!$C$27),0))</f>
        <v>698</v>
      </c>
      <c r="O79" s="25">
        <f>MAX(1,ROUND(M79*ตั้งค่า!$C$26*(1+ตั้งค่า!$C$27),0))</f>
        <v>1048</v>
      </c>
      <c r="P79" s="25">
        <f t="shared" si="17"/>
        <v>3625</v>
      </c>
      <c r="Q79" s="27">
        <f t="shared" si="18"/>
        <v>410.83333333333331</v>
      </c>
      <c r="R79" s="26">
        <f t="shared" si="20"/>
        <v>168.29244444444447</v>
      </c>
    </row>
    <row r="80" spans="1:18">
      <c r="A80" s="3">
        <v>76</v>
      </c>
      <c r="B80" s="25">
        <f>ROUND(ตั้งค่า!$C$24*A80^ตั้งค่า!$C$25,0)</f>
        <v>6584640</v>
      </c>
      <c r="C80" s="25">
        <f t="shared" si="19"/>
        <v>121837500</v>
      </c>
      <c r="D80" s="26">
        <f>ROUND((ตั้งค่า!$C$12+ตั้งค่า!$C$13*A80)*(1+ตั้งค่า!$C$14)^(A80-1),1)</f>
        <v>715.4</v>
      </c>
      <c r="E80" s="25">
        <f>ROUND((ตั้งค่า!$C$15+ตั้งค่า!$C$16*A80)*(1+ตั้งค่า!$C$17)^(A80-1),0)</f>
        <v>2596</v>
      </c>
      <c r="F80" s="25">
        <f>ROUND(D80*ตั้งค่า!$C$22,0)</f>
        <v>36</v>
      </c>
      <c r="G80" s="26">
        <f t="shared" si="14"/>
        <v>679.4</v>
      </c>
      <c r="H80" s="25">
        <f>ROUND(ตั้งค่า!$C$20*G80,0)</f>
        <v>2718</v>
      </c>
      <c r="I80" s="25">
        <f>MAX(1,ROUND(E80/ตั้งค่า!$C$23,0))</f>
        <v>216</v>
      </c>
      <c r="J80" s="27">
        <f>ตั้งค่า!$C$20*ตั้งค่า!$C$18+ตั้งค่า!$C$21</f>
        <v>6.8</v>
      </c>
      <c r="K80" s="27">
        <f>ตั้งค่า!$C$10*A80^ตั้งค่า!$C$8+ตั้งค่า!$C$9</f>
        <v>421.73874097761541</v>
      </c>
      <c r="L80" s="25">
        <f t="shared" si="15"/>
        <v>3721.2241850966066</v>
      </c>
      <c r="M80" s="25">
        <f t="shared" si="16"/>
        <v>1769</v>
      </c>
      <c r="N80" s="25">
        <f>MAX(1,ROUND(M80*ตั้งค่า!$C$26*(1-ตั้งค่า!$C$27),0))</f>
        <v>708</v>
      </c>
      <c r="O80" s="25">
        <f>MAX(1,ROUND(M80*ตั้งค่า!$C$26*(1+ตั้งค่า!$C$27),0))</f>
        <v>1061</v>
      </c>
      <c r="P80" s="25">
        <f t="shared" si="17"/>
        <v>3723</v>
      </c>
      <c r="Q80" s="27">
        <f t="shared" si="18"/>
        <v>421.93999999999994</v>
      </c>
      <c r="R80" s="26">
        <f t="shared" si="20"/>
        <v>175.1396666666667</v>
      </c>
    </row>
    <row r="81" spans="1:18">
      <c r="A81" s="3">
        <v>77</v>
      </c>
      <c r="B81" s="25">
        <f>ROUND(ตั้งค่า!$C$24*A81^ตั้งค่า!$C$25,0)</f>
        <v>6847995</v>
      </c>
      <c r="C81" s="25">
        <f t="shared" si="19"/>
        <v>128422140</v>
      </c>
      <c r="D81" s="26">
        <f>ROUND((ตั้งค่า!$C$12+ตั้งค่า!$C$13*A81)*(1+ตั้งค่า!$C$14)^(A81-1),1)</f>
        <v>738.7</v>
      </c>
      <c r="E81" s="25">
        <f>ROUND((ตั้งค่า!$C$15+ตั้งค่า!$C$16*A81)*(1+ตั้งค่า!$C$17)^(A81-1),0)</f>
        <v>2666</v>
      </c>
      <c r="F81" s="25">
        <f>ROUND(D81*ตั้งค่า!$C$22,0)</f>
        <v>37</v>
      </c>
      <c r="G81" s="26">
        <f t="shared" si="14"/>
        <v>701.7</v>
      </c>
      <c r="H81" s="25">
        <f>ROUND(ตั้งค่า!$C$20*G81,0)</f>
        <v>2807</v>
      </c>
      <c r="I81" s="25">
        <f>MAX(1,ROUND(E81/ตั้งค่า!$C$23,0))</f>
        <v>222</v>
      </c>
      <c r="J81" s="27">
        <f>ตั้งค่า!$C$20*ตั้งค่า!$C$18+ตั้งค่า!$C$21</f>
        <v>6.8</v>
      </c>
      <c r="K81" s="27">
        <f>ตั้งค่า!$C$10*A81^ตั้งค่า!$C$8+ตั้งค่า!$C$9</f>
        <v>432.89425125628145</v>
      </c>
      <c r="L81" s="25">
        <f t="shared" si="15"/>
        <v>3819.6551581436597</v>
      </c>
      <c r="M81" s="25">
        <f t="shared" si="16"/>
        <v>1793</v>
      </c>
      <c r="N81" s="25">
        <f>MAX(1,ROUND(M81*ตั้งค่า!$C$26*(1-ตั้งค่า!$C$27),0))</f>
        <v>717</v>
      </c>
      <c r="O81" s="25">
        <f>MAX(1,ROUND(M81*ตั้งค่า!$C$26*(1+ตั้งค่า!$C$27),0))</f>
        <v>1076</v>
      </c>
      <c r="P81" s="25">
        <f t="shared" si="17"/>
        <v>3820</v>
      </c>
      <c r="Q81" s="27">
        <f t="shared" si="18"/>
        <v>432.93333333333334</v>
      </c>
      <c r="R81" s="26">
        <f t="shared" si="20"/>
        <v>182.17200000000003</v>
      </c>
    </row>
    <row r="82" spans="1:18">
      <c r="A82" s="3">
        <v>78</v>
      </c>
      <c r="B82" s="25">
        <f>ROUND(ตั้งค่า!$C$24*A82^ตั้งค่า!$C$25,0)</f>
        <v>7118280</v>
      </c>
      <c r="C82" s="25">
        <f t="shared" si="19"/>
        <v>135270135</v>
      </c>
      <c r="D82" s="26">
        <f>ROUND((ตั้งค่า!$C$12+ตั้งค่า!$C$13*A82)*(1+ตั้งค่า!$C$14)^(A82-1),1)</f>
        <v>762.6</v>
      </c>
      <c r="E82" s="25">
        <f>ROUND((ตั้งค่า!$C$15+ตั้งค่า!$C$16*A82)*(1+ตั้งค่า!$C$17)^(A82-1),0)</f>
        <v>2738</v>
      </c>
      <c r="F82" s="25">
        <f>ROUND(D82*ตั้งค่า!$C$22,0)</f>
        <v>38</v>
      </c>
      <c r="G82" s="26">
        <f t="shared" si="14"/>
        <v>724.6</v>
      </c>
      <c r="H82" s="25">
        <f>ROUND(ตั้งค่า!$C$20*G82,0)</f>
        <v>2898</v>
      </c>
      <c r="I82" s="25">
        <f>MAX(1,ROUND(E82/ตั้งค่า!$C$23,0))</f>
        <v>228</v>
      </c>
      <c r="J82" s="27">
        <f>ตั้งค่า!$C$20*ตั้งค่า!$C$18+ตั้งค่า!$C$21</f>
        <v>6.8</v>
      </c>
      <c r="K82" s="27">
        <f>ตั้งค่า!$C$10*A82^ตั้งค่า!$C$8+ตั้งค่า!$C$9</f>
        <v>444.19558519872089</v>
      </c>
      <c r="L82" s="25">
        <f t="shared" si="15"/>
        <v>3919.3728105769496</v>
      </c>
      <c r="M82" s="25">
        <f t="shared" si="16"/>
        <v>1816</v>
      </c>
      <c r="N82" s="25">
        <f>MAX(1,ROUND(M82*ตั้งค่า!$C$26*(1-ตั้งค่า!$C$27),0))</f>
        <v>726</v>
      </c>
      <c r="O82" s="25">
        <f>MAX(1,ROUND(M82*ตั้งค่า!$C$26*(1+ตั้งค่า!$C$27),0))</f>
        <v>1090</v>
      </c>
      <c r="P82" s="25">
        <f t="shared" si="17"/>
        <v>3920</v>
      </c>
      <c r="Q82" s="27">
        <f t="shared" si="18"/>
        <v>444.26666666666665</v>
      </c>
      <c r="R82" s="26">
        <f t="shared" si="20"/>
        <v>189.38755555555559</v>
      </c>
    </row>
    <row r="83" spans="1:18">
      <c r="A83" s="3">
        <v>79</v>
      </c>
      <c r="B83" s="25">
        <f>ROUND(ตั้งค่า!$C$24*A83^ตั้งค่า!$C$25,0)</f>
        <v>7395585</v>
      </c>
      <c r="C83" s="25">
        <f t="shared" si="19"/>
        <v>142388415</v>
      </c>
      <c r="D83" s="26">
        <f>ROUND((ตั้งค่า!$C$12+ตั้งค่า!$C$13*A83)*(1+ตั้งค่า!$C$14)^(A83-1),1)</f>
        <v>787.3</v>
      </c>
      <c r="E83" s="25">
        <f>ROUND((ตั้งค่า!$C$15+ตั้งค่า!$C$16*A83)*(1+ตั้งค่า!$C$17)^(A83-1),0)</f>
        <v>2811</v>
      </c>
      <c r="F83" s="25">
        <f>ROUND(D83*ตั้งค่า!$C$22,0)</f>
        <v>39</v>
      </c>
      <c r="G83" s="26">
        <f t="shared" si="14"/>
        <v>748.3</v>
      </c>
      <c r="H83" s="25">
        <f>ROUND(ตั้งค่า!$C$20*G83,0)</f>
        <v>2993</v>
      </c>
      <c r="I83" s="25">
        <f>MAX(1,ROUND(E83/ตั้งค่า!$C$23,0))</f>
        <v>234</v>
      </c>
      <c r="J83" s="27">
        <f>ตั้งค่า!$C$20*ตั้งค่า!$C$18+ตั้งค่า!$C$21</f>
        <v>6.8</v>
      </c>
      <c r="K83" s="27">
        <f>ตั้งค่า!$C$10*A83^ตั้งค่า!$C$8+ตั้งค่า!$C$9</f>
        <v>455.64274280493379</v>
      </c>
      <c r="L83" s="25">
        <f t="shared" si="15"/>
        <v>4020.3771423964749</v>
      </c>
      <c r="M83" s="25">
        <f t="shared" si="16"/>
        <v>1840</v>
      </c>
      <c r="N83" s="25">
        <f>MAX(1,ROUND(M83*ตั้งค่า!$C$26*(1-ตั้งค่า!$C$27),0))</f>
        <v>736</v>
      </c>
      <c r="O83" s="25">
        <f>MAX(1,ROUND(M83*ตั้งค่า!$C$26*(1+ตั้งค่า!$C$27),0))</f>
        <v>1104</v>
      </c>
      <c r="P83" s="25">
        <f t="shared" si="17"/>
        <v>4020</v>
      </c>
      <c r="Q83" s="27">
        <f t="shared" si="18"/>
        <v>455.6</v>
      </c>
      <c r="R83" s="26">
        <f t="shared" si="20"/>
        <v>196.79200000000003</v>
      </c>
    </row>
    <row r="84" spans="1:18">
      <c r="A84" s="3">
        <v>80</v>
      </c>
      <c r="B84" s="25">
        <f>ROUND(ตั้งค่า!$C$24*A84^ตั้งค่า!$C$25,0)</f>
        <v>7680000</v>
      </c>
      <c r="C84" s="25">
        <f t="shared" si="19"/>
        <v>149784000</v>
      </c>
      <c r="D84" s="26">
        <f>ROUND((ตั้งค่า!$C$12+ตั้งค่า!$C$13*A84)*(1+ตั้งค่า!$C$14)^(A84-1),1)</f>
        <v>812.6</v>
      </c>
      <c r="E84" s="25">
        <f>ROUND((ตั้งค่า!$C$15+ตั้งค่า!$C$16*A84)*(1+ตั้งค่า!$C$17)^(A84-1),0)</f>
        <v>2885</v>
      </c>
      <c r="F84" s="25">
        <f>ROUND(D84*ตั้งค่า!$C$22,0)</f>
        <v>41</v>
      </c>
      <c r="G84" s="26">
        <f t="shared" si="14"/>
        <v>771.6</v>
      </c>
      <c r="H84" s="25">
        <f>ROUND(ตั้งค่า!$C$20*G84,0)</f>
        <v>3086</v>
      </c>
      <c r="I84" s="25">
        <f>MAX(1,ROUND(E84/ตั้งค่า!$C$23,0))</f>
        <v>240</v>
      </c>
      <c r="J84" s="27">
        <f>ตั้งค่า!$C$20*ตั้งค่า!$C$18+ตั้งค่า!$C$21</f>
        <v>6.8</v>
      </c>
      <c r="K84" s="27">
        <f>ตั้งค่า!$C$10*A84^ตั้งค่า!$C$8+ตั้งค่า!$C$9</f>
        <v>467.23572407492009</v>
      </c>
      <c r="L84" s="25">
        <f t="shared" si="15"/>
        <v>4122.6681536022361</v>
      </c>
      <c r="M84" s="25">
        <f t="shared" si="16"/>
        <v>1863</v>
      </c>
      <c r="N84" s="25">
        <f>MAX(1,ROUND(M84*ตั้งค่า!$C$26*(1-ตั้งค่า!$C$27),0))</f>
        <v>745</v>
      </c>
      <c r="O84" s="25">
        <f>MAX(1,ROUND(M84*ตั้งค่า!$C$26*(1+ตั้งค่า!$C$27),0))</f>
        <v>1118</v>
      </c>
      <c r="P84" s="25">
        <f t="shared" si="17"/>
        <v>4123</v>
      </c>
      <c r="Q84" s="27">
        <f t="shared" si="18"/>
        <v>467.27333333333331</v>
      </c>
      <c r="R84" s="26">
        <f t="shared" si="20"/>
        <v>204.38533333333336</v>
      </c>
    </row>
    <row r="85" spans="1:18">
      <c r="A85" s="3">
        <v>81</v>
      </c>
      <c r="B85" s="25">
        <f>ROUND(ตั้งค่า!$C$24*A85^ตั้งค่า!$C$25,0)</f>
        <v>7971615</v>
      </c>
      <c r="C85" s="25">
        <f t="shared" si="19"/>
        <v>157464000</v>
      </c>
      <c r="D85" s="26">
        <f>ROUND((ตั้งค่า!$C$12+ตั้งค่า!$C$13*A85)*(1+ตั้งค่า!$C$14)^(A85-1),1)</f>
        <v>838.6</v>
      </c>
      <c r="E85" s="25">
        <f>ROUND((ตั้งค่า!$C$15+ตั้งค่า!$C$16*A85)*(1+ตั้งค่า!$C$17)^(A85-1),0)</f>
        <v>2962</v>
      </c>
      <c r="F85" s="25">
        <f>ROUND(D85*ตั้งค่า!$C$22,0)</f>
        <v>42</v>
      </c>
      <c r="G85" s="26">
        <f t="shared" si="14"/>
        <v>796.6</v>
      </c>
      <c r="H85" s="25">
        <f>ROUND(ตั้งค่า!$C$20*G85,0)</f>
        <v>3186</v>
      </c>
      <c r="I85" s="25">
        <f>MAX(1,ROUND(E85/ตั้งค่า!$C$23,0))</f>
        <v>247</v>
      </c>
      <c r="J85" s="27">
        <f>ตั้งค่า!$C$20*ตั้งค่า!$C$18+ตั้งค่า!$C$21</f>
        <v>6.8</v>
      </c>
      <c r="K85" s="27">
        <f>ตั้งค่า!$C$10*A85^ตั้งค่า!$C$8+ตั้งค่า!$C$9</f>
        <v>478.97452900867978</v>
      </c>
      <c r="L85" s="25">
        <f t="shared" si="15"/>
        <v>4226.2458441942335</v>
      </c>
      <c r="M85" s="25">
        <f t="shared" si="16"/>
        <v>1886</v>
      </c>
      <c r="N85" s="25">
        <f>MAX(1,ROUND(M85*ตั้งค่า!$C$26*(1-ตั้งค่า!$C$27),0))</f>
        <v>754</v>
      </c>
      <c r="O85" s="25">
        <f>MAX(1,ROUND(M85*ตั้งค่า!$C$26*(1+ตั้งค่า!$C$27),0))</f>
        <v>1132</v>
      </c>
      <c r="P85" s="25">
        <f t="shared" si="17"/>
        <v>4227</v>
      </c>
      <c r="Q85" s="27">
        <f t="shared" si="18"/>
        <v>479.06</v>
      </c>
      <c r="R85" s="26">
        <f t="shared" si="20"/>
        <v>212.17322222222225</v>
      </c>
    </row>
    <row r="86" spans="1:18">
      <c r="A86" s="3">
        <v>82</v>
      </c>
      <c r="B86" s="25">
        <f>ROUND(ตั้งค่า!$C$24*A86^ตั้งค่า!$C$25,0)</f>
        <v>8270520</v>
      </c>
      <c r="C86" s="25">
        <f t="shared" si="19"/>
        <v>165435615</v>
      </c>
      <c r="D86" s="26">
        <f>ROUND((ตั้งค่า!$C$12+ตั้งค่า!$C$13*A86)*(1+ตั้งค่า!$C$14)^(A86-1),1)</f>
        <v>865.3</v>
      </c>
      <c r="E86" s="25">
        <f>ROUND((ตั้งค่า!$C$15+ตั้งค่า!$C$16*A86)*(1+ตั้งค่า!$C$17)^(A86-1),0)</f>
        <v>3039</v>
      </c>
      <c r="F86" s="25">
        <f>ROUND(D86*ตั้งค่า!$C$22,0)</f>
        <v>43</v>
      </c>
      <c r="G86" s="26">
        <f t="shared" si="14"/>
        <v>822.3</v>
      </c>
      <c r="H86" s="25">
        <f>ROUND(ตั้งค่า!$C$20*G86,0)</f>
        <v>3289</v>
      </c>
      <c r="I86" s="25">
        <f>MAX(1,ROUND(E86/ตั้งค่า!$C$23,0))</f>
        <v>253</v>
      </c>
      <c r="J86" s="27">
        <f>ตั้งค่า!$C$20*ตั้งค่า!$C$18+ตั้งค่า!$C$21</f>
        <v>6.8</v>
      </c>
      <c r="K86" s="27">
        <f>ตั้งค่า!$C$10*A86^ตั้งค่า!$C$8+ตั้งค่า!$C$9</f>
        <v>490.85915760621293</v>
      </c>
      <c r="L86" s="25">
        <f t="shared" si="15"/>
        <v>4331.1102141724677</v>
      </c>
      <c r="M86" s="25">
        <f t="shared" si="16"/>
        <v>1910</v>
      </c>
      <c r="N86" s="25">
        <f>MAX(1,ROUND(M86*ตั้งค่า!$C$26*(1-ตั้งค่า!$C$27),0))</f>
        <v>764</v>
      </c>
      <c r="O86" s="25">
        <f>MAX(1,ROUND(M86*ตั้งค่า!$C$26*(1+ตั้งค่า!$C$27),0))</f>
        <v>1146</v>
      </c>
      <c r="P86" s="25">
        <f t="shared" si="17"/>
        <v>4331</v>
      </c>
      <c r="Q86" s="27">
        <f t="shared" si="18"/>
        <v>490.84666666666664</v>
      </c>
      <c r="R86" s="26">
        <f t="shared" si="20"/>
        <v>220.15755555555558</v>
      </c>
    </row>
    <row r="87" spans="1:18">
      <c r="A87" s="3">
        <v>83</v>
      </c>
      <c r="B87" s="25">
        <f>ROUND(ตั้งค่า!$C$24*A87^ตั้งค่า!$C$25,0)</f>
        <v>8576805</v>
      </c>
      <c r="C87" s="25">
        <f t="shared" si="19"/>
        <v>173706135</v>
      </c>
      <c r="D87" s="26">
        <f>ROUND((ตั้งค่า!$C$12+ตั้งค่า!$C$13*A87)*(1+ตั้งค่า!$C$14)^(A87-1),1)</f>
        <v>892.7</v>
      </c>
      <c r="E87" s="25">
        <f>ROUND((ตั้งค่า!$C$15+ตั้งค่า!$C$16*A87)*(1+ตั้งค่า!$C$17)^(A87-1),0)</f>
        <v>3119</v>
      </c>
      <c r="F87" s="25">
        <f>ROUND(D87*ตั้งค่า!$C$22,0)</f>
        <v>45</v>
      </c>
      <c r="G87" s="26">
        <f t="shared" si="14"/>
        <v>847.7</v>
      </c>
      <c r="H87" s="25">
        <f>ROUND(ตั้งค่า!$C$20*G87,0)</f>
        <v>3391</v>
      </c>
      <c r="I87" s="25">
        <f>MAX(1,ROUND(E87/ตั้งค่า!$C$23,0))</f>
        <v>260</v>
      </c>
      <c r="J87" s="27">
        <f>ตั้งค่า!$C$20*ตั้งค่า!$C$18+ตั้งค่า!$C$21</f>
        <v>6.8</v>
      </c>
      <c r="K87" s="27">
        <f>ตั้งค่า!$C$10*A87^ตั้งค่า!$C$8+ตั้งค่า!$C$9</f>
        <v>502.88960986751943</v>
      </c>
      <c r="L87" s="25">
        <f t="shared" si="15"/>
        <v>4437.261263536936</v>
      </c>
      <c r="M87" s="25">
        <f t="shared" si="16"/>
        <v>1933</v>
      </c>
      <c r="N87" s="25">
        <f>MAX(1,ROUND(M87*ตั้งค่า!$C$26*(1-ตั้งค่า!$C$27),0))</f>
        <v>773</v>
      </c>
      <c r="O87" s="25">
        <f>MAX(1,ROUND(M87*ตั้งค่า!$C$26*(1+ตั้งค่า!$C$27),0))</f>
        <v>1160</v>
      </c>
      <c r="P87" s="25">
        <f t="shared" si="17"/>
        <v>4438</v>
      </c>
      <c r="Q87" s="27">
        <f t="shared" si="18"/>
        <v>502.9733333333333</v>
      </c>
      <c r="R87" s="26">
        <f t="shared" si="20"/>
        <v>228.33833333333337</v>
      </c>
    </row>
    <row r="88" spans="1:18">
      <c r="A88" s="3">
        <v>84</v>
      </c>
      <c r="B88" s="25">
        <f>ROUND(ตั้งค่า!$C$24*A88^ตั้งค่า!$C$25,0)</f>
        <v>8890560</v>
      </c>
      <c r="C88" s="25">
        <f t="shared" si="19"/>
        <v>182282940</v>
      </c>
      <c r="D88" s="26">
        <f>ROUND((ตั้งค่า!$C$12+ตั้งค่า!$C$13*A88)*(1+ตั้งค่า!$C$14)^(A88-1),1)</f>
        <v>920.9</v>
      </c>
      <c r="E88" s="25">
        <f>ROUND((ตั้งค่า!$C$15+ตั้งค่า!$C$16*A88)*(1+ตั้งค่า!$C$17)^(A88-1),0)</f>
        <v>3200</v>
      </c>
      <c r="F88" s="25">
        <f>ROUND(D88*ตั้งค่า!$C$22,0)</f>
        <v>46</v>
      </c>
      <c r="G88" s="26">
        <f t="shared" si="14"/>
        <v>874.9</v>
      </c>
      <c r="H88" s="25">
        <f>ROUND(ตั้งค่า!$C$20*G88,0)</f>
        <v>3500</v>
      </c>
      <c r="I88" s="25">
        <f>MAX(1,ROUND(E88/ตั้งค่า!$C$23,0))</f>
        <v>267</v>
      </c>
      <c r="J88" s="27">
        <f>ตั้งค่า!$C$20*ตั้งค่า!$C$18+ตั้งค่า!$C$21</f>
        <v>6.8</v>
      </c>
      <c r="K88" s="27">
        <f>ตั้งค่า!$C$10*A88^ตั้งค่า!$C$8+ตั้งค่า!$C$9</f>
        <v>515.06588579259937</v>
      </c>
      <c r="L88" s="25">
        <f t="shared" si="15"/>
        <v>4544.6989922876419</v>
      </c>
      <c r="M88" s="25">
        <f t="shared" si="16"/>
        <v>1956</v>
      </c>
      <c r="N88" s="25">
        <f>MAX(1,ROUND(M88*ตั้งค่า!$C$26*(1-ตั้งค่า!$C$27),0))</f>
        <v>782</v>
      </c>
      <c r="O88" s="25">
        <f>MAX(1,ROUND(M88*ตั้งค่า!$C$26*(1+ตั้งค่า!$C$27),0))</f>
        <v>1174</v>
      </c>
      <c r="P88" s="25">
        <f t="shared" si="17"/>
        <v>4546</v>
      </c>
      <c r="Q88" s="27">
        <f t="shared" si="18"/>
        <v>515.21333333333337</v>
      </c>
      <c r="R88" s="26">
        <f t="shared" si="20"/>
        <v>236.72122222222225</v>
      </c>
    </row>
    <row r="89" spans="1:18">
      <c r="A89" s="3">
        <v>85</v>
      </c>
      <c r="B89" s="25">
        <f>ROUND(ตั้งค่า!$C$24*A89^ตั้งค่า!$C$25,0)</f>
        <v>9211875</v>
      </c>
      <c r="C89" s="25">
        <f t="shared" si="19"/>
        <v>191173500</v>
      </c>
      <c r="D89" s="26">
        <f>ROUND((ตั้งค่า!$C$12+ตั้งค่า!$C$13*A89)*(1+ตั้งค่า!$C$14)^(A89-1),1)</f>
        <v>949.9</v>
      </c>
      <c r="E89" s="25">
        <f>ROUND((ตั้งค่า!$C$15+ตั้งค่า!$C$16*A89)*(1+ตั้งค่า!$C$17)^(A89-1),0)</f>
        <v>3283</v>
      </c>
      <c r="F89" s="25">
        <f>ROUND(D89*ตั้งค่า!$C$22,0)</f>
        <v>47</v>
      </c>
      <c r="G89" s="26">
        <f t="shared" si="14"/>
        <v>902.9</v>
      </c>
      <c r="H89" s="25">
        <f>ROUND(ตั้งค่า!$C$20*G89,0)</f>
        <v>3612</v>
      </c>
      <c r="I89" s="25">
        <f>MAX(1,ROUND(E89/ตั้งค่า!$C$23,0))</f>
        <v>274</v>
      </c>
      <c r="J89" s="27">
        <f>ตั้งค่า!$C$20*ตั้งค่า!$C$18+ตั้งค่า!$C$21</f>
        <v>6.8</v>
      </c>
      <c r="K89" s="27">
        <f>ตั้งค่า!$C$10*A89^ตั้งค่า!$C$8+ตั้งค่า!$C$9</f>
        <v>527.38798538145272</v>
      </c>
      <c r="L89" s="25">
        <f t="shared" si="15"/>
        <v>4653.4234004245827</v>
      </c>
      <c r="M89" s="25">
        <f t="shared" si="16"/>
        <v>1980</v>
      </c>
      <c r="N89" s="25">
        <f>MAX(1,ROUND(M89*ตั้งค่า!$C$26*(1-ตั้งค่า!$C$27),0))</f>
        <v>792</v>
      </c>
      <c r="O89" s="25">
        <f>MAX(1,ROUND(M89*ตั้งค่า!$C$26*(1+ตั้งค่า!$C$27),0))</f>
        <v>1188</v>
      </c>
      <c r="P89" s="25">
        <f t="shared" si="17"/>
        <v>4653</v>
      </c>
      <c r="Q89" s="27">
        <f t="shared" si="18"/>
        <v>527.33999999999992</v>
      </c>
      <c r="R89" s="26">
        <f t="shared" si="20"/>
        <v>245.30811111111115</v>
      </c>
    </row>
    <row r="90" spans="1:18">
      <c r="A90" s="3">
        <v>86</v>
      </c>
      <c r="B90" s="25">
        <f>ROUND(ตั้งค่า!$C$24*A90^ตั้งค่า!$C$25,0)</f>
        <v>9540840</v>
      </c>
      <c r="C90" s="25">
        <f t="shared" si="19"/>
        <v>200385375</v>
      </c>
      <c r="D90" s="26">
        <f>ROUND((ตั้งค่า!$C$12+ตั้งค่า!$C$13*A90)*(1+ตั้งค่า!$C$14)^(A90-1),1)</f>
        <v>979.7</v>
      </c>
      <c r="E90" s="25">
        <f>ROUND((ตั้งค่า!$C$15+ตั้งค่า!$C$16*A90)*(1+ตั้งค่า!$C$17)^(A90-1),0)</f>
        <v>3368</v>
      </c>
      <c r="F90" s="25">
        <f>ROUND(D90*ตั้งค่า!$C$22,0)</f>
        <v>49</v>
      </c>
      <c r="G90" s="26">
        <f t="shared" si="14"/>
        <v>930.7</v>
      </c>
      <c r="H90" s="25">
        <f>ROUND(ตั้งค่า!$C$20*G90,0)</f>
        <v>3723</v>
      </c>
      <c r="I90" s="25">
        <f>MAX(1,ROUND(E90/ตั้งค่า!$C$23,0))</f>
        <v>281</v>
      </c>
      <c r="J90" s="27">
        <f>ตั้งค่า!$C$20*ตั้งค่า!$C$18+ตั้งค่า!$C$21</f>
        <v>6.8</v>
      </c>
      <c r="K90" s="27">
        <f>ตั้งค่า!$C$10*A90^ตั้งค่า!$C$8+ตั้งค่า!$C$9</f>
        <v>539.85590863407947</v>
      </c>
      <c r="L90" s="25">
        <f t="shared" si="15"/>
        <v>4763.4344879477603</v>
      </c>
      <c r="M90" s="25">
        <f t="shared" si="16"/>
        <v>2003</v>
      </c>
      <c r="N90" s="25">
        <f>MAX(1,ROUND(M90*ตั้งค่า!$C$26*(1-ตั้งค่า!$C$27),0))</f>
        <v>801</v>
      </c>
      <c r="O90" s="25">
        <f>MAX(1,ROUND(M90*ตั้งค่า!$C$26*(1+ตั้งค่า!$C$27),0))</f>
        <v>1202</v>
      </c>
      <c r="P90" s="25">
        <f t="shared" si="17"/>
        <v>4764</v>
      </c>
      <c r="Q90" s="27">
        <f t="shared" si="18"/>
        <v>539.91999999999996</v>
      </c>
      <c r="R90" s="26">
        <f t="shared" si="20"/>
        <v>254.09711111111113</v>
      </c>
    </row>
    <row r="91" spans="1:18">
      <c r="A91" s="3">
        <v>87</v>
      </c>
      <c r="B91" s="25">
        <f>ROUND(ตั้งค่า!$C$24*A91^ตั้งค่า!$C$25,0)</f>
        <v>9877545</v>
      </c>
      <c r="C91" s="25">
        <f t="shared" si="19"/>
        <v>209926215</v>
      </c>
      <c r="D91" s="26">
        <f>ROUND((ตั้งค่า!$C$12+ตั้งค่า!$C$13*A91)*(1+ตั้งค่า!$C$14)^(A91-1),1)</f>
        <v>1010.3</v>
      </c>
      <c r="E91" s="25">
        <f>ROUND((ตั้งค่า!$C$15+ตั้งค่า!$C$16*A91)*(1+ตั้งค่า!$C$17)^(A91-1),0)</f>
        <v>3454</v>
      </c>
      <c r="F91" s="25">
        <f>ROUND(D91*ตั้งค่า!$C$22,0)</f>
        <v>51</v>
      </c>
      <c r="G91" s="26">
        <f t="shared" si="14"/>
        <v>959.3</v>
      </c>
      <c r="H91" s="25">
        <f>ROUND(ตั้งค่า!$C$20*G91,0)</f>
        <v>3837</v>
      </c>
      <c r="I91" s="25">
        <f>MAX(1,ROUND(E91/ตั้งค่า!$C$23,0))</f>
        <v>288</v>
      </c>
      <c r="J91" s="27">
        <f>ตั้งค่า!$C$20*ตั้งค่า!$C$18+ตั้งค่า!$C$21</f>
        <v>6.8</v>
      </c>
      <c r="K91" s="27">
        <f>ตั้งค่า!$C$10*A91^ตั้งค่า!$C$8+ตั้งค่า!$C$9</f>
        <v>552.46965555047973</v>
      </c>
      <c r="L91" s="25">
        <f t="shared" si="15"/>
        <v>4874.7322548571738</v>
      </c>
      <c r="M91" s="25">
        <f t="shared" si="16"/>
        <v>2026</v>
      </c>
      <c r="N91" s="25">
        <f>MAX(1,ROUND(M91*ตั้งค่า!$C$26*(1-ตั้งค่า!$C$27),0))</f>
        <v>810</v>
      </c>
      <c r="O91" s="25">
        <f>MAX(1,ROUND(M91*ตั้งค่า!$C$26*(1+ตั้งค่า!$C$27),0))</f>
        <v>1216</v>
      </c>
      <c r="P91" s="25">
        <f t="shared" si="17"/>
        <v>4876</v>
      </c>
      <c r="Q91" s="27">
        <f t="shared" si="18"/>
        <v>552.61333333333323</v>
      </c>
      <c r="R91" s="26">
        <f t="shared" si="20"/>
        <v>263.09577777777781</v>
      </c>
    </row>
    <row r="92" spans="1:18">
      <c r="A92" s="3">
        <v>88</v>
      </c>
      <c r="B92" s="25">
        <f>ROUND(ตั้งค่า!$C$24*A92^ตั้งค่า!$C$25,0)</f>
        <v>10222080</v>
      </c>
      <c r="C92" s="25">
        <f t="shared" si="19"/>
        <v>219803760</v>
      </c>
      <c r="D92" s="26">
        <f>ROUND((ตั้งค่า!$C$12+ตั้งค่า!$C$13*A92)*(1+ตั้งค่า!$C$14)^(A92-1),1)</f>
        <v>1041.7</v>
      </c>
      <c r="E92" s="25">
        <f>ROUND((ตั้งค่า!$C$15+ตั้งค่า!$C$16*A92)*(1+ตั้งค่า!$C$17)^(A92-1),0)</f>
        <v>3543</v>
      </c>
      <c r="F92" s="25">
        <f>ROUND(D92*ตั้งค่า!$C$22,0)</f>
        <v>52</v>
      </c>
      <c r="G92" s="26">
        <f t="shared" si="14"/>
        <v>989.7</v>
      </c>
      <c r="H92" s="25">
        <f>ROUND(ตั้งค่า!$C$20*G92,0)</f>
        <v>3959</v>
      </c>
      <c r="I92" s="25">
        <f>MAX(1,ROUND(E92/ตั้งค่า!$C$23,0))</f>
        <v>295</v>
      </c>
      <c r="J92" s="27">
        <f>ตั้งค่า!$C$20*ตั้งค่า!$C$18+ตั้งค่า!$C$21</f>
        <v>6.8</v>
      </c>
      <c r="K92" s="27">
        <f>ตั้งค่า!$C$10*A92^ตั้งค่า!$C$8+ตั้งค่า!$C$9</f>
        <v>565.22922613065327</v>
      </c>
      <c r="L92" s="25">
        <f t="shared" si="15"/>
        <v>4987.316701152823</v>
      </c>
      <c r="M92" s="25">
        <f t="shared" si="16"/>
        <v>2050</v>
      </c>
      <c r="N92" s="25">
        <f>MAX(1,ROUND(M92*ตั้งค่า!$C$26*(1-ตั้งค่า!$C$27),0))</f>
        <v>820</v>
      </c>
      <c r="O92" s="25">
        <f>MAX(1,ROUND(M92*ตั้งค่า!$C$26*(1+ตั้งค่า!$C$27),0))</f>
        <v>1230</v>
      </c>
      <c r="P92" s="25">
        <f t="shared" si="17"/>
        <v>4987</v>
      </c>
      <c r="Q92" s="27">
        <f t="shared" si="18"/>
        <v>565.19333333333327</v>
      </c>
      <c r="R92" s="26">
        <f t="shared" si="20"/>
        <v>272.30600000000004</v>
      </c>
    </row>
    <row r="93" spans="1:18">
      <c r="A93" s="3">
        <v>89</v>
      </c>
      <c r="B93" s="25">
        <f>ROUND(ตั้งค่า!$C$24*A93^ตั้งค่า!$C$25,0)</f>
        <v>10574535</v>
      </c>
      <c r="C93" s="25">
        <f t="shared" si="19"/>
        <v>230025840</v>
      </c>
      <c r="D93" s="26">
        <f>ROUND((ตั้งค่า!$C$12+ตั้งค่า!$C$13*A93)*(1+ตั้งค่า!$C$14)^(A93-1),1)</f>
        <v>1073.9000000000001</v>
      </c>
      <c r="E93" s="25">
        <f>ROUND((ตั้งค่า!$C$15+ตั้งค่า!$C$16*A93)*(1+ตั้งค่า!$C$17)^(A93-1),0)</f>
        <v>3633</v>
      </c>
      <c r="F93" s="25">
        <f>ROUND(D93*ตั้งค่า!$C$22,0)</f>
        <v>54</v>
      </c>
      <c r="G93" s="26">
        <f t="shared" si="14"/>
        <v>1019.9000000000001</v>
      </c>
      <c r="H93" s="25">
        <f>ROUND(ตั้งค่า!$C$20*G93,0)</f>
        <v>4080</v>
      </c>
      <c r="I93" s="25">
        <f>MAX(1,ROUND(E93/ตั้งค่า!$C$23,0))</f>
        <v>303</v>
      </c>
      <c r="J93" s="27">
        <f>ตั้งค่า!$C$20*ตั้งค่า!$C$18+ตั้งค่า!$C$21</f>
        <v>6.8</v>
      </c>
      <c r="K93" s="27">
        <f>ตั้งค่า!$C$10*A93^ตั้งค่า!$C$8+ตั้งค่า!$C$9</f>
        <v>578.13462037460033</v>
      </c>
      <c r="L93" s="25">
        <f t="shared" si="15"/>
        <v>5101.1878268347091</v>
      </c>
      <c r="M93" s="25">
        <f t="shared" si="16"/>
        <v>2073</v>
      </c>
      <c r="N93" s="25">
        <f>MAX(1,ROUND(M93*ตั้งค่า!$C$26*(1-ตั้งค่า!$C$27),0))</f>
        <v>829</v>
      </c>
      <c r="O93" s="25">
        <f>MAX(1,ROUND(M93*ตั้งค่า!$C$26*(1+ตั้งค่า!$C$27),0))</f>
        <v>1244</v>
      </c>
      <c r="P93" s="25">
        <f t="shared" si="17"/>
        <v>5102</v>
      </c>
      <c r="Q93" s="27">
        <f t="shared" si="18"/>
        <v>578.22666666666669</v>
      </c>
      <c r="R93" s="26">
        <f t="shared" si="20"/>
        <v>281.7258888888889</v>
      </c>
    </row>
    <row r="94" spans="1:18">
      <c r="A94" s="3">
        <v>90</v>
      </c>
      <c r="B94" s="25">
        <f>ROUND(ตั้งค่า!$C$24*A94^ตั้งค่า!$C$25,0)</f>
        <v>10935000</v>
      </c>
      <c r="C94" s="25">
        <f t="shared" si="19"/>
        <v>240600375</v>
      </c>
      <c r="D94" s="26">
        <f>ROUND((ตั้งค่า!$C$12+ตั้งค่า!$C$13*A94)*(1+ตั้งค่า!$C$14)^(A94-1),1)</f>
        <v>1107.0999999999999</v>
      </c>
      <c r="E94" s="25">
        <f>ROUND((ตั้งค่า!$C$15+ตั้งค่า!$C$16*A94)*(1+ตั้งค่า!$C$17)^(A94-1),0)</f>
        <v>3725</v>
      </c>
      <c r="F94" s="25">
        <f>ROUND(D94*ตั้งค่า!$C$22,0)</f>
        <v>55</v>
      </c>
      <c r="G94" s="26">
        <f t="shared" si="14"/>
        <v>1052.0999999999999</v>
      </c>
      <c r="H94" s="25">
        <f>ROUND(ตั้งค่า!$C$20*G94,0)</f>
        <v>4208</v>
      </c>
      <c r="I94" s="25">
        <f>MAX(1,ROUND(E94/ตั้งค่า!$C$23,0))</f>
        <v>310</v>
      </c>
      <c r="J94" s="27">
        <f>ตั้งค่า!$C$20*ตั้งค่า!$C$18+ตั้งค่า!$C$21</f>
        <v>6.8</v>
      </c>
      <c r="K94" s="27">
        <f>ตั้งค่า!$C$10*A94^ตั้งค่า!$C$8+ตั้งค่า!$C$9</f>
        <v>591.18583828232079</v>
      </c>
      <c r="L94" s="25">
        <f t="shared" si="15"/>
        <v>5216.3456319028301</v>
      </c>
      <c r="M94" s="25">
        <f t="shared" si="16"/>
        <v>2096</v>
      </c>
      <c r="N94" s="25">
        <f>MAX(1,ROUND(M94*ตั้งค่า!$C$26*(1-ตั้งค่า!$C$27),0))</f>
        <v>838</v>
      </c>
      <c r="O94" s="25">
        <f>MAX(1,ROUND(M94*ตั้งค่า!$C$26*(1+ตั้งค่า!$C$27),0))</f>
        <v>1258</v>
      </c>
      <c r="P94" s="25">
        <f t="shared" si="17"/>
        <v>5218</v>
      </c>
      <c r="Q94" s="27">
        <f t="shared" si="18"/>
        <v>591.37333333333333</v>
      </c>
      <c r="R94" s="26">
        <f t="shared" si="20"/>
        <v>291.363</v>
      </c>
    </row>
    <row r="95" spans="1:18">
      <c r="A95" s="3">
        <v>91</v>
      </c>
      <c r="B95" s="25">
        <f>ROUND(ตั้งค่า!$C$24*A95^ตั้งค่า!$C$25,0)</f>
        <v>11303565</v>
      </c>
      <c r="C95" s="25">
        <f t="shared" si="19"/>
        <v>251535375</v>
      </c>
      <c r="D95" s="26">
        <f>ROUND((ตั้งค่า!$C$12+ตั้งค่า!$C$13*A95)*(1+ตั้งค่า!$C$14)^(A95-1),1)</f>
        <v>1141.0999999999999</v>
      </c>
      <c r="E95" s="25">
        <f>ROUND((ตั้งค่า!$C$15+ตั้งค่า!$C$16*A95)*(1+ตั้งค่า!$C$17)^(A95-1),0)</f>
        <v>3819</v>
      </c>
      <c r="F95" s="25">
        <f>ROUND(D95*ตั้งค่า!$C$22,0)</f>
        <v>57</v>
      </c>
      <c r="G95" s="26">
        <f t="shared" si="14"/>
        <v>1084.0999999999999</v>
      </c>
      <c r="H95" s="25">
        <f>ROUND(ตั้งค่า!$C$20*G95,0)</f>
        <v>4336</v>
      </c>
      <c r="I95" s="25">
        <f>MAX(1,ROUND(E95/ตั้งค่า!$C$23,0))</f>
        <v>318</v>
      </c>
      <c r="J95" s="27">
        <f>ตั้งค่า!$C$20*ตั้งค่า!$C$18+ตั้งค่า!$C$21</f>
        <v>6.8</v>
      </c>
      <c r="K95" s="27">
        <f>ตั้งค่า!$C$10*A95^ตั้งค่า!$C$8+ตั้งค่า!$C$9</f>
        <v>604.38287985381453</v>
      </c>
      <c r="L95" s="25">
        <f t="shared" si="15"/>
        <v>5332.7901163571869</v>
      </c>
      <c r="M95" s="25">
        <f t="shared" si="16"/>
        <v>2120</v>
      </c>
      <c r="N95" s="25">
        <f>MAX(1,ROUND(M95*ตั้งค่า!$C$26*(1-ตั้งค่า!$C$27),0))</f>
        <v>848</v>
      </c>
      <c r="O95" s="25">
        <f>MAX(1,ROUND(M95*ตั้งค่า!$C$26*(1+ตั้งค่า!$C$27),0))</f>
        <v>1272</v>
      </c>
      <c r="P95" s="25">
        <f t="shared" si="17"/>
        <v>5332</v>
      </c>
      <c r="Q95" s="27">
        <f t="shared" si="18"/>
        <v>604.29333333333329</v>
      </c>
      <c r="R95" s="26">
        <f t="shared" si="20"/>
        <v>301.21922222222224</v>
      </c>
    </row>
    <row r="96" spans="1:18">
      <c r="A96" s="3">
        <v>92</v>
      </c>
      <c r="B96" s="25">
        <f>ROUND(ตั้งค่า!$C$24*A96^ตั้งค่า!$C$25,0)</f>
        <v>11680320</v>
      </c>
      <c r="C96" s="25">
        <f t="shared" si="19"/>
        <v>262838940</v>
      </c>
      <c r="D96" s="26">
        <f>ROUND((ตั้งค่า!$C$12+ตั้งค่า!$C$13*A96)*(1+ตั้งค่า!$C$14)^(A96-1),1)</f>
        <v>1176</v>
      </c>
      <c r="E96" s="25">
        <f>ROUND((ตั้งค่า!$C$15+ตั้งค่า!$C$16*A96)*(1+ตั้งค่า!$C$17)^(A96-1),0)</f>
        <v>3915</v>
      </c>
      <c r="F96" s="25">
        <f>ROUND(D96*ตั้งค่า!$C$22,0)</f>
        <v>59</v>
      </c>
      <c r="G96" s="26">
        <f t="shared" si="14"/>
        <v>1117</v>
      </c>
      <c r="H96" s="25">
        <f>ROUND(ตั้งค่า!$C$20*G96,0)</f>
        <v>4468</v>
      </c>
      <c r="I96" s="25">
        <f>MAX(1,ROUND(E96/ตั้งค่า!$C$23,0))</f>
        <v>326</v>
      </c>
      <c r="J96" s="27">
        <f>ตั้งค่า!$C$20*ตั้งค่า!$C$18+ตั้งค่า!$C$21</f>
        <v>6.8</v>
      </c>
      <c r="K96" s="27">
        <f>ตั้งค่า!$C$10*A96^ตั้งค่า!$C$8+ตั้งค่า!$C$9</f>
        <v>617.72574508908178</v>
      </c>
      <c r="L96" s="25">
        <f t="shared" si="15"/>
        <v>5450.5212801977814</v>
      </c>
      <c r="M96" s="25">
        <f t="shared" si="16"/>
        <v>2143</v>
      </c>
      <c r="N96" s="25">
        <f>MAX(1,ROUND(M96*ตั้งค่า!$C$26*(1-ตั้งค่า!$C$27),0))</f>
        <v>857</v>
      </c>
      <c r="O96" s="25">
        <f>MAX(1,ROUND(M96*ตั้งค่า!$C$26*(1+ตั้งค่า!$C$27),0))</f>
        <v>1286</v>
      </c>
      <c r="P96" s="25">
        <f t="shared" si="17"/>
        <v>5451</v>
      </c>
      <c r="Q96" s="27">
        <f t="shared" si="18"/>
        <v>617.78</v>
      </c>
      <c r="R96" s="26">
        <f t="shared" si="20"/>
        <v>311.29077777777781</v>
      </c>
    </row>
    <row r="97" spans="1:18">
      <c r="A97" s="3">
        <v>93</v>
      </c>
      <c r="B97" s="25">
        <f>ROUND(ตั้งค่า!$C$24*A97^ตั้งค่า!$C$25,0)</f>
        <v>12065355</v>
      </c>
      <c r="C97" s="25">
        <f t="shared" si="19"/>
        <v>274519260</v>
      </c>
      <c r="D97" s="26">
        <f>ROUND((ตั้งค่า!$C$12+ตั้งค่า!$C$13*A97)*(1+ตั้งค่า!$C$14)^(A97-1),1)</f>
        <v>1211.9000000000001</v>
      </c>
      <c r="E97" s="25">
        <f>ROUND((ตั้งค่า!$C$15+ตั้งค่า!$C$16*A97)*(1+ตั้งค่า!$C$17)^(A97-1),0)</f>
        <v>4013</v>
      </c>
      <c r="F97" s="25">
        <f>ROUND(D97*ตั้งค่า!$C$22,0)</f>
        <v>61</v>
      </c>
      <c r="G97" s="26">
        <f t="shared" si="14"/>
        <v>1150.9000000000001</v>
      </c>
      <c r="H97" s="25">
        <f>ROUND(ตั้งค่า!$C$20*G97,0)</f>
        <v>4604</v>
      </c>
      <c r="I97" s="25">
        <f>MAX(1,ROUND(E97/ตั้งค่า!$C$23,0))</f>
        <v>334</v>
      </c>
      <c r="J97" s="27">
        <f>ตั้งค่า!$C$20*ตั้งค่า!$C$18+ตั้งค่า!$C$21</f>
        <v>6.8</v>
      </c>
      <c r="K97" s="27">
        <f>ตั้งค่า!$C$10*A97^ตั้งค่า!$C$8+ตั้งค่า!$C$9</f>
        <v>631.21443398812244</v>
      </c>
      <c r="L97" s="25">
        <f t="shared" si="15"/>
        <v>5569.539123424609</v>
      </c>
      <c r="M97" s="25">
        <f t="shared" si="16"/>
        <v>2166</v>
      </c>
      <c r="N97" s="25">
        <f>MAX(1,ROUND(M97*ตั้งค่า!$C$26*(1-ตั้งค่า!$C$27),0))</f>
        <v>866</v>
      </c>
      <c r="O97" s="25">
        <f>MAX(1,ROUND(M97*ตั้งค่า!$C$26*(1+ตั้งค่า!$C$27),0))</f>
        <v>1300</v>
      </c>
      <c r="P97" s="25">
        <f t="shared" si="17"/>
        <v>5571</v>
      </c>
      <c r="Q97" s="27">
        <f t="shared" si="18"/>
        <v>631.37999999999988</v>
      </c>
      <c r="R97" s="26">
        <f t="shared" si="20"/>
        <v>321.58711111111114</v>
      </c>
    </row>
    <row r="98" spans="1:18">
      <c r="A98" s="3">
        <v>94</v>
      </c>
      <c r="B98" s="25">
        <f>ROUND(ตั้งค่า!$C$24*A98^ตั้งค่า!$C$25,0)</f>
        <v>12458760</v>
      </c>
      <c r="C98" s="25">
        <f t="shared" si="19"/>
        <v>286584615</v>
      </c>
      <c r="D98" s="26">
        <f>ROUND((ตั้งค่า!$C$12+ตั้งค่า!$C$13*A98)*(1+ตั้งค่า!$C$14)^(A98-1),1)</f>
        <v>1248.8</v>
      </c>
      <c r="E98" s="25">
        <f>ROUND((ตั้งค่า!$C$15+ตั้งค่า!$C$16*A98)*(1+ตั้งค่า!$C$17)^(A98-1),0)</f>
        <v>4113</v>
      </c>
      <c r="F98" s="25">
        <f>ROUND(D98*ตั้งค่า!$C$22,0)</f>
        <v>62</v>
      </c>
      <c r="G98" s="26">
        <f t="shared" si="14"/>
        <v>1186.8</v>
      </c>
      <c r="H98" s="25">
        <f>ROUND(ตั้งค่า!$C$20*G98,0)</f>
        <v>4747</v>
      </c>
      <c r="I98" s="25">
        <f>MAX(1,ROUND(E98/ตั้งค่า!$C$23,0))</f>
        <v>343</v>
      </c>
      <c r="J98" s="27">
        <f>ตั้งค่า!$C$20*ตั้งค่า!$C$18+ตั้งค่า!$C$21</f>
        <v>6.8</v>
      </c>
      <c r="K98" s="27">
        <f>ตั้งค่า!$C$10*A98^ตั้งค่า!$C$8+ตั้งค่า!$C$9</f>
        <v>644.84894655093649</v>
      </c>
      <c r="L98" s="25">
        <f t="shared" si="15"/>
        <v>5689.8436460376743</v>
      </c>
      <c r="M98" s="25">
        <f t="shared" si="16"/>
        <v>2190</v>
      </c>
      <c r="N98" s="25">
        <f>MAX(1,ROUND(M98*ตั้งค่า!$C$26*(1-ตั้งค่า!$C$27),0))</f>
        <v>876</v>
      </c>
      <c r="O98" s="25">
        <f>MAX(1,ROUND(M98*ตั้งค่า!$C$26*(1+ตั้งค่า!$C$27),0))</f>
        <v>1314</v>
      </c>
      <c r="P98" s="25">
        <f t="shared" si="17"/>
        <v>5689</v>
      </c>
      <c r="Q98" s="27">
        <f t="shared" si="18"/>
        <v>644.75333333333333</v>
      </c>
      <c r="R98" s="26">
        <f t="shared" si="20"/>
        <v>332.11011111111117</v>
      </c>
    </row>
    <row r="99" spans="1:18">
      <c r="A99" s="3">
        <v>95</v>
      </c>
      <c r="B99" s="25">
        <f>ROUND(ตั้งค่า!$C$24*A99^ตั้งค่า!$C$25,0)</f>
        <v>12860625</v>
      </c>
      <c r="C99" s="25">
        <f t="shared" si="19"/>
        <v>299043375</v>
      </c>
      <c r="D99" s="26">
        <f>ROUND((ตั้งค่า!$C$12+ตั้งค่า!$C$13*A99)*(1+ตั้งค่า!$C$14)^(A99-1),1)</f>
        <v>1286.5999999999999</v>
      </c>
      <c r="E99" s="25">
        <f>ROUND((ตั้งค่า!$C$15+ตั้งค่า!$C$16*A99)*(1+ตั้งค่า!$C$17)^(A99-1),0)</f>
        <v>4215</v>
      </c>
      <c r="F99" s="25">
        <f>ROUND(D99*ตั้งค่า!$C$22,0)</f>
        <v>64</v>
      </c>
      <c r="G99" s="26">
        <f t="shared" si="14"/>
        <v>1222.5999999999999</v>
      </c>
      <c r="H99" s="25">
        <f>ROUND(ตั้งค่า!$C$20*G99,0)</f>
        <v>4890</v>
      </c>
      <c r="I99" s="25">
        <f>MAX(1,ROUND(E99/ตั้งค่า!$C$23,0))</f>
        <v>351</v>
      </c>
      <c r="J99" s="27">
        <f>ตั้งค่า!$C$20*ตั้งค่า!$C$18+ตั้งค่า!$C$21</f>
        <v>6.8</v>
      </c>
      <c r="K99" s="27">
        <f>ตั้งค่า!$C$10*A99^ตั้งค่า!$C$8+ตั้งค่า!$C$9</f>
        <v>658.62928277752405</v>
      </c>
      <c r="L99" s="25">
        <f t="shared" si="15"/>
        <v>5811.4348480369772</v>
      </c>
      <c r="M99" s="25">
        <f t="shared" si="16"/>
        <v>2213</v>
      </c>
      <c r="N99" s="25">
        <f>MAX(1,ROUND(M99*ตั้งค่า!$C$26*(1-ตั้งค่า!$C$27),0))</f>
        <v>885</v>
      </c>
      <c r="O99" s="25">
        <f>MAX(1,ROUND(M99*ตั้งค่า!$C$26*(1+ตั้งค่า!$C$27),0))</f>
        <v>1328</v>
      </c>
      <c r="P99" s="25">
        <f t="shared" si="17"/>
        <v>5812</v>
      </c>
      <c r="Q99" s="27">
        <f t="shared" si="18"/>
        <v>658.69333333333327</v>
      </c>
      <c r="R99" s="26">
        <f t="shared" si="20"/>
        <v>342.85600000000005</v>
      </c>
    </row>
    <row r="100" spans="1:18">
      <c r="A100" s="3">
        <v>96</v>
      </c>
      <c r="B100" s="25">
        <f>ROUND(ตั้งค่า!$C$24*A100^ตั้งค่า!$C$25,0)</f>
        <v>13271040</v>
      </c>
      <c r="C100" s="25">
        <f t="shared" si="19"/>
        <v>311904000</v>
      </c>
      <c r="D100" s="26">
        <f>ROUND((ตั้งค่า!$C$12+ตั้งค่า!$C$13*A100)*(1+ตั้งค่า!$C$14)^(A100-1),1)</f>
        <v>1325.5</v>
      </c>
      <c r="E100" s="25">
        <f>ROUND((ตั้งค่า!$C$15+ตั้งค่า!$C$16*A100)*(1+ตั้งค่า!$C$17)^(A100-1),0)</f>
        <v>4320</v>
      </c>
      <c r="F100" s="25">
        <f>ROUND(D100*ตั้งค่า!$C$22,0)</f>
        <v>66</v>
      </c>
      <c r="G100" s="26">
        <f t="shared" si="14"/>
        <v>1259.5</v>
      </c>
      <c r="H100" s="25">
        <f>ROUND(ตั้งค่า!$C$20*G100,0)</f>
        <v>5038</v>
      </c>
      <c r="I100" s="25">
        <f>MAX(1,ROUND(E100/ตั้งค่า!$C$23,0))</f>
        <v>360</v>
      </c>
      <c r="J100" s="27">
        <f>ตั้งค่า!$C$20*ตั้งค่า!$C$18+ตั้งค่า!$C$21</f>
        <v>6.8</v>
      </c>
      <c r="K100" s="27">
        <f>ตั้งค่า!$C$10*A100^ตั้งค่า!$C$8+ตั้งค่า!$C$9</f>
        <v>672.5554426678849</v>
      </c>
      <c r="L100" s="25">
        <f t="shared" si="15"/>
        <v>5934.3127294225142</v>
      </c>
      <c r="M100" s="25">
        <f t="shared" si="16"/>
        <v>2236</v>
      </c>
      <c r="N100" s="25">
        <f>MAX(1,ROUND(M100*ตั้งค่า!$C$26*(1-ตั้งค่า!$C$27),0))</f>
        <v>894</v>
      </c>
      <c r="O100" s="25">
        <f>MAX(1,ROUND(M100*ตั้งค่า!$C$26*(1+ตั้งค่า!$C$27),0))</f>
        <v>1342</v>
      </c>
      <c r="P100" s="25">
        <f t="shared" si="17"/>
        <v>5936</v>
      </c>
      <c r="Q100" s="27">
        <f t="shared" si="18"/>
        <v>672.74666666666656</v>
      </c>
      <c r="R100" s="26">
        <f t="shared" si="20"/>
        <v>353.83422222222225</v>
      </c>
    </row>
    <row r="101" spans="1:18">
      <c r="A101" s="3">
        <v>97</v>
      </c>
      <c r="B101" s="25">
        <f>ROUND(ตั้งค่า!$C$24*A101^ตั้งค่า!$C$25,0)</f>
        <v>13690095</v>
      </c>
      <c r="C101" s="25">
        <f t="shared" si="19"/>
        <v>325175040</v>
      </c>
      <c r="D101" s="26">
        <f>ROUND((ตั้งค่า!$C$12+ตั้งค่า!$C$13*A101)*(1+ตั้งค่า!$C$14)^(A101-1),1)</f>
        <v>1365.4</v>
      </c>
      <c r="E101" s="25">
        <f>ROUND((ตั้งค่า!$C$15+ตั้งค่า!$C$16*A101)*(1+ตั้งค่า!$C$17)^(A101-1),0)</f>
        <v>4426</v>
      </c>
      <c r="F101" s="25">
        <f>ROUND(D101*ตั้งค่า!$C$22,0)</f>
        <v>68</v>
      </c>
      <c r="G101" s="26">
        <f t="shared" ref="G101:G104" si="21">MAX(1,D101-F101)</f>
        <v>1297.4000000000001</v>
      </c>
      <c r="H101" s="25">
        <f>ROUND(ตั้งค่า!$C$20*G101,0)</f>
        <v>5190</v>
      </c>
      <c r="I101" s="25">
        <f>MAX(1,ROUND(E101/ตั้งค่า!$C$23,0))</f>
        <v>369</v>
      </c>
      <c r="J101" s="27">
        <f>ตั้งค่า!$C$20*ตั้งค่า!$C$18+ตั้งค่า!$C$21</f>
        <v>6.8</v>
      </c>
      <c r="K101" s="27">
        <f>ตั้งค่า!$C$10*A101^ตั้งค่า!$C$8+ตั้งค่า!$C$9</f>
        <v>686.62742622201927</v>
      </c>
      <c r="L101" s="25">
        <f t="shared" ref="L101:L104" si="22">K101*60/J101</f>
        <v>6058.4772901942879</v>
      </c>
      <c r="M101" s="25">
        <f t="shared" ref="M101:M104" si="23">MAX(1,ROUND(B101/L101,0))</f>
        <v>2260</v>
      </c>
      <c r="N101" s="25">
        <f>MAX(1,ROUND(M101*ตั้งค่า!$C$26*(1-ตั้งค่า!$C$27),0))</f>
        <v>904</v>
      </c>
      <c r="O101" s="25">
        <f>MAX(1,ROUND(M101*ตั้งค่า!$C$26*(1+ตั้งค่า!$C$27),0))</f>
        <v>1356</v>
      </c>
      <c r="P101" s="25">
        <f t="shared" si="17"/>
        <v>6058</v>
      </c>
      <c r="Q101" s="27">
        <f t="shared" ref="Q101:Q104" si="24">P101*J101/60</f>
        <v>686.57333333333338</v>
      </c>
      <c r="R101" s="26">
        <f t="shared" si="20"/>
        <v>365.04666666666668</v>
      </c>
    </row>
    <row r="102" spans="1:18">
      <c r="A102" s="3">
        <v>98</v>
      </c>
      <c r="B102" s="25">
        <f>ROUND(ตั้งค่า!$C$24*A102^ตั้งค่า!$C$25,0)</f>
        <v>14117880</v>
      </c>
      <c r="C102" s="25">
        <f t="shared" si="19"/>
        <v>338865135</v>
      </c>
      <c r="D102" s="26">
        <f>ROUND((ตั้งค่า!$C$12+ตั้งค่า!$C$13*A102)*(1+ตั้งค่า!$C$14)^(A102-1),1)</f>
        <v>1406.3</v>
      </c>
      <c r="E102" s="25">
        <f>ROUND((ตั้งค่า!$C$15+ตั้งค่า!$C$16*A102)*(1+ตั้งค่า!$C$17)^(A102-1),0)</f>
        <v>4535</v>
      </c>
      <c r="F102" s="25">
        <f>ROUND(D102*ตั้งค่า!$C$22,0)</f>
        <v>70</v>
      </c>
      <c r="G102" s="26">
        <f t="shared" si="21"/>
        <v>1336.3</v>
      </c>
      <c r="H102" s="25">
        <f>ROUND(ตั้งค่า!$C$20*G102,0)</f>
        <v>5345</v>
      </c>
      <c r="I102" s="25">
        <f>MAX(1,ROUND(E102/ตั้งค่า!$C$23,0))</f>
        <v>378</v>
      </c>
      <c r="J102" s="27">
        <f>ตั้งค่า!$C$20*ตั้งค่า!$C$18+ตั้งค่า!$C$21</f>
        <v>6.8</v>
      </c>
      <c r="K102" s="27">
        <f>ตั้งค่า!$C$10*A102^ตั้งค่า!$C$8+ตั้งค่า!$C$9</f>
        <v>700.84523343992691</v>
      </c>
      <c r="L102" s="25">
        <f t="shared" si="22"/>
        <v>6183.9285303522965</v>
      </c>
      <c r="M102" s="25">
        <f t="shared" si="23"/>
        <v>2283</v>
      </c>
      <c r="N102" s="25">
        <f>MAX(1,ROUND(M102*ตั้งค่า!$C$26*(1-ตั้งค่า!$C$27),0))</f>
        <v>913</v>
      </c>
      <c r="O102" s="25">
        <f>MAX(1,ROUND(M102*ตั้งค่า!$C$26*(1+ตั้งค่า!$C$27),0))</f>
        <v>1370</v>
      </c>
      <c r="P102" s="25">
        <f t="shared" si="17"/>
        <v>6184</v>
      </c>
      <c r="Q102" s="27">
        <f t="shared" si="24"/>
        <v>700.85333333333324</v>
      </c>
      <c r="R102" s="26">
        <f t="shared" si="20"/>
        <v>376.48955555555557</v>
      </c>
    </row>
    <row r="103" spans="1:18">
      <c r="A103" s="3">
        <v>99</v>
      </c>
      <c r="B103" s="25">
        <f>ROUND(ตั้งค่า!$C$24*A103^ตั้งค่า!$C$25,0)</f>
        <v>14554485</v>
      </c>
      <c r="C103" s="25">
        <f t="shared" si="19"/>
        <v>352983015</v>
      </c>
      <c r="D103" s="26">
        <f>ROUND((ตั้งค่า!$C$12+ตั้งค่า!$C$13*A103)*(1+ตั้งค่า!$C$14)^(A103-1),1)</f>
        <v>1448.4</v>
      </c>
      <c r="E103" s="25">
        <f>ROUND((ตั้งค่า!$C$15+ตั้งค่า!$C$16*A103)*(1+ตั้งค่า!$C$17)^(A103-1),0)</f>
        <v>4646</v>
      </c>
      <c r="F103" s="25">
        <f>ROUND(D103*ตั้งค่า!$C$22,0)</f>
        <v>72</v>
      </c>
      <c r="G103" s="26">
        <f t="shared" si="21"/>
        <v>1376.4</v>
      </c>
      <c r="H103" s="25">
        <f>ROUND(ตั้งค่า!$C$20*G103,0)</f>
        <v>5506</v>
      </c>
      <c r="I103" s="25">
        <f>MAX(1,ROUND(E103/ตั้งค่า!$C$23,0))</f>
        <v>387</v>
      </c>
      <c r="J103" s="27">
        <f>ตั้งค่า!$C$20*ตั้งค่า!$C$18+ตั้งค่า!$C$21</f>
        <v>6.8</v>
      </c>
      <c r="K103" s="27">
        <f>ตั้งค่า!$C$10*A103^ตั้งค่า!$C$8+ตั้งค่า!$C$9</f>
        <v>715.20886432160808</v>
      </c>
      <c r="L103" s="25">
        <f t="shared" si="22"/>
        <v>6310.666449896542</v>
      </c>
      <c r="M103" s="25">
        <f t="shared" si="23"/>
        <v>2306</v>
      </c>
      <c r="N103" s="25">
        <f>MAX(1,ROUND(M103*ตั้งค่า!$C$26*(1-ตั้งค่า!$C$27),0))</f>
        <v>922</v>
      </c>
      <c r="O103" s="25">
        <f>MAX(1,ROUND(M103*ตั้งค่า!$C$26*(1+ตั้งค่า!$C$27),0))</f>
        <v>1384</v>
      </c>
      <c r="P103" s="25">
        <f t="shared" si="17"/>
        <v>6312</v>
      </c>
      <c r="Q103" s="27">
        <f t="shared" si="24"/>
        <v>715.36</v>
      </c>
      <c r="R103" s="26">
        <f t="shared" si="20"/>
        <v>388.17044444444446</v>
      </c>
    </row>
    <row r="104" spans="1:18">
      <c r="A104" s="3">
        <v>100</v>
      </c>
      <c r="B104" s="25">
        <f>ROUND(ตั้งค่า!$C$24*A104^ตั้งค่า!$C$25,0)</f>
        <v>15000000</v>
      </c>
      <c r="C104" s="25">
        <f t="shared" si="19"/>
        <v>367537500</v>
      </c>
      <c r="D104" s="26">
        <f>ROUND((ตั้งค่า!$C$12+ตั้งค่า!$C$13*A104)*(1+ตั้งค่า!$C$14)^(A104-1),1)</f>
        <v>1491.5</v>
      </c>
      <c r="E104" s="25">
        <f>ROUND((ตั้งค่า!$C$15+ตั้งค่า!$C$16*A104)*(1+ตั้งค่า!$C$17)^(A104-1),0)</f>
        <v>4760</v>
      </c>
      <c r="F104" s="25">
        <f>ROUND(D104*ตั้งค่า!$C$22,0)</f>
        <v>75</v>
      </c>
      <c r="G104" s="26">
        <f t="shared" si="21"/>
        <v>1416.5</v>
      </c>
      <c r="H104" s="25">
        <f>ROUND(ตั้งค่า!$C$20*G104,0)</f>
        <v>5666</v>
      </c>
      <c r="I104" s="25">
        <f>MAX(1,ROUND(E104/ตั้งค่า!$C$23,0))</f>
        <v>397</v>
      </c>
      <c r="J104" s="27">
        <f>ตั้งค่า!$C$20*ตั้งค่า!$C$18+ตั้งค่า!$C$21</f>
        <v>6.8</v>
      </c>
      <c r="K104" s="27">
        <f>ตั้งค่า!$C$10*A104^ตั้งค่า!$C$8+ตั้งค่า!$C$9</f>
        <v>729.71831886706264</v>
      </c>
      <c r="L104" s="25">
        <f t="shared" si="22"/>
        <v>6438.6910488270232</v>
      </c>
      <c r="M104" s="25">
        <f t="shared" si="23"/>
        <v>2330</v>
      </c>
      <c r="N104" s="25">
        <f>MAX(1,ROUND(M104*ตั้งค่า!$C$26*(1-ตั้งค่า!$C$27),0))</f>
        <v>932</v>
      </c>
      <c r="O104" s="25">
        <f>MAX(1,ROUND(M104*ตั้งค่า!$C$26*(1+ตั้งค่า!$C$27),0))</f>
        <v>1398</v>
      </c>
      <c r="P104" s="25">
        <f t="shared" si="17"/>
        <v>6438</v>
      </c>
      <c r="Q104" s="27">
        <f t="shared" si="24"/>
        <v>729.64</v>
      </c>
      <c r="R104" s="26">
        <f t="shared" si="20"/>
        <v>400.09311111111111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/>
  <cols>
    <col min="1" max="1" width="20" customWidth="1"/>
    <col min="2" max="2" width="18" customWidth="1"/>
    <col min="3" max="3" width="7" customWidth="1"/>
    <col min="4" max="4" width="8" customWidth="1"/>
    <col min="5" max="5" width="10" customWidth="1"/>
    <col min="6" max="7" width="9" customWidth="1"/>
    <col min="8" max="8" width="10" customWidth="1"/>
    <col min="9" max="10" width="8" customWidth="1"/>
    <col min="11" max="13" width="10" customWidth="1"/>
    <col min="14" max="14" width="9" customWidth="1"/>
    <col min="15" max="15" width="36" customWidth="1"/>
  </cols>
  <sheetData>
    <row r="1" spans="1:15" ht="17.399999999999999">
      <c r="A1" s="1" t="s">
        <v>106</v>
      </c>
    </row>
    <row r="2" spans="1:15">
      <c r="A2" s="4" t="s">
        <v>107</v>
      </c>
    </row>
    <row r="4" spans="1:15" ht="27.6">
      <c r="A4" s="24" t="s">
        <v>108</v>
      </c>
      <c r="B4" s="24" t="s">
        <v>109</v>
      </c>
      <c r="C4" s="24" t="s">
        <v>24</v>
      </c>
      <c r="D4" s="24" t="s">
        <v>110</v>
      </c>
      <c r="E4" s="24" t="s">
        <v>111</v>
      </c>
      <c r="F4" s="24" t="s">
        <v>69</v>
      </c>
      <c r="G4" s="24" t="s">
        <v>72</v>
      </c>
      <c r="H4" s="24" t="s">
        <v>112</v>
      </c>
      <c r="I4" s="24" t="s">
        <v>113</v>
      </c>
      <c r="J4" s="24" t="s">
        <v>114</v>
      </c>
      <c r="K4" s="24" t="s">
        <v>115</v>
      </c>
      <c r="L4" s="24" t="s">
        <v>101</v>
      </c>
      <c r="M4" s="24" t="s">
        <v>102</v>
      </c>
      <c r="N4" s="24" t="s">
        <v>50</v>
      </c>
      <c r="O4" s="24" t="s">
        <v>116</v>
      </c>
    </row>
    <row r="5" spans="1:15">
      <c r="A5" s="3" t="s">
        <v>117</v>
      </c>
      <c r="B5" s="28" t="s">
        <v>118</v>
      </c>
      <c r="C5" s="28">
        <v>1</v>
      </c>
      <c r="D5" s="28" t="s">
        <v>119</v>
      </c>
      <c r="E5" s="28" t="s">
        <v>120</v>
      </c>
      <c r="F5" s="29">
        <v>1</v>
      </c>
      <c r="G5" s="29">
        <v>1</v>
      </c>
      <c r="H5" s="25">
        <f>ROUND(INDEX(เลเวล!$H$5:$H$104,C5)*F5*IF(D5="บอส",ตั้งค่า!$C$29,1),0)</f>
        <v>44</v>
      </c>
      <c r="I5" s="25">
        <f>ROUND(INDEX(เลเวล!$F$5:$F$104,C5)*IF(D5="บอส",ตั้งค่า!$C$32,1),0)</f>
        <v>1</v>
      </c>
      <c r="J5" s="25">
        <f>ROUND(INDEX(เลเวล!$I$5:$I$104,C5)*IF(D5="บอส",ตั้งค่า!$C$31,1),0)</f>
        <v>8</v>
      </c>
      <c r="K5" s="25">
        <f>ROUND(INDEX(เลเวล!$M$5:$M$104,C5)*G5*IF(D5="บอส",ตั้งค่า!$C$30,1),0)</f>
        <v>3</v>
      </c>
      <c r="L5" s="25">
        <f>ROUND(INDEX(เลเวล!$N$5:$N$104,C5)*IF(D5="บอส",ตั้งค่า!$C$33,1),0)</f>
        <v>1</v>
      </c>
      <c r="M5" s="25">
        <f>ROUND(INDEX(เลเวล!$O$5:$O$104,C5)*IF(D5="บอส",ตั้งค่า!$C$33,1),0)</f>
        <v>2</v>
      </c>
      <c r="N5" s="25">
        <f>ROUNDUP(H5/INDEX(เลเวล!$G$5:$G$104,C5),0)</f>
        <v>4</v>
      </c>
      <c r="O5" s="3" t="s">
        <v>121</v>
      </c>
    </row>
    <row r="6" spans="1:15">
      <c r="A6" s="3" t="s">
        <v>122</v>
      </c>
      <c r="B6" s="28" t="s">
        <v>118</v>
      </c>
      <c r="C6" s="28">
        <v>2</v>
      </c>
      <c r="D6" s="28" t="s">
        <v>119</v>
      </c>
      <c r="E6" s="28" t="s">
        <v>120</v>
      </c>
      <c r="F6" s="29">
        <v>0.7</v>
      </c>
      <c r="G6" s="29">
        <v>0.8</v>
      </c>
      <c r="H6" s="25">
        <f>ROUND(INDEX(เลเวล!$H$5:$H$104,C6)*F6*IF(D6="บอส",ตั้งค่า!$C$29,1),0)</f>
        <v>37</v>
      </c>
      <c r="I6" s="25">
        <f>ROUND(INDEX(เลเวล!$F$5:$F$104,C6)*IF(D6="บอส",ตั้งค่า!$C$32,1),0)</f>
        <v>1</v>
      </c>
      <c r="J6" s="25">
        <f>ROUND(INDEX(เลเวล!$I$5:$I$104,C6)*IF(D6="บอส",ตั้งค่า!$C$31,1),0)</f>
        <v>9</v>
      </c>
      <c r="K6" s="25">
        <f>ROUND(INDEX(เลเวล!$M$5:$M$104,C6)*G6*IF(D6="บอส",ตั้งค่า!$C$30,1),0)</f>
        <v>12</v>
      </c>
      <c r="L6" s="25">
        <f>ROUND(INDEX(เลเวล!$N$5:$N$104,C6)*IF(D6="บอส",ตั้งค่า!$C$33,1),0)</f>
        <v>6</v>
      </c>
      <c r="M6" s="25">
        <f>ROUND(INDEX(เลเวล!$O$5:$O$104,C6)*IF(D6="บอส",ตั้งค่า!$C$33,1),0)</f>
        <v>9</v>
      </c>
      <c r="N6" s="25">
        <f>ROUNDUP(H6/INDEX(เลเวล!$G$5:$G$104,C6),0)</f>
        <v>3</v>
      </c>
      <c r="O6" s="3" t="s">
        <v>123</v>
      </c>
    </row>
    <row r="7" spans="1:15">
      <c r="A7" s="3" t="s">
        <v>124</v>
      </c>
      <c r="B7" s="28" t="s">
        <v>118</v>
      </c>
      <c r="C7" s="28">
        <v>1</v>
      </c>
      <c r="D7" s="28" t="s">
        <v>119</v>
      </c>
      <c r="E7" s="28" t="s">
        <v>120</v>
      </c>
      <c r="F7" s="29">
        <v>1.3</v>
      </c>
      <c r="G7" s="29">
        <v>1.1499999999999999</v>
      </c>
      <c r="H7" s="25">
        <f>ROUND(INDEX(เลเวล!$H$5:$H$104,C7)*F7*IF(D7="บอส",ตั้งค่า!$C$29,1),0)</f>
        <v>57</v>
      </c>
      <c r="I7" s="25">
        <f>ROUND(INDEX(เลเวล!$F$5:$F$104,C7)*IF(D7="บอส",ตั้งค่า!$C$32,1),0)</f>
        <v>1</v>
      </c>
      <c r="J7" s="25">
        <f>ROUND(INDEX(เลเวล!$I$5:$I$104,C7)*IF(D7="บอส",ตั้งค่า!$C$31,1),0)</f>
        <v>8</v>
      </c>
      <c r="K7" s="25">
        <f>ROUND(INDEX(เลเวล!$M$5:$M$104,C7)*G7*IF(D7="บอส",ตั้งค่า!$C$30,1),0)</f>
        <v>3</v>
      </c>
      <c r="L7" s="25">
        <f>ROUND(INDEX(เลเวล!$N$5:$N$104,C7)*IF(D7="บอส",ตั้งค่า!$C$33,1),0)</f>
        <v>1</v>
      </c>
      <c r="M7" s="25">
        <f>ROUND(INDEX(เลเวล!$O$5:$O$104,C7)*IF(D7="บอส",ตั้งค่า!$C$33,1),0)</f>
        <v>2</v>
      </c>
      <c r="N7" s="25">
        <f>ROUNDUP(H7/INDEX(เลเวล!$G$5:$G$104,C7),0)</f>
        <v>6</v>
      </c>
      <c r="O7" s="3" t="s">
        <v>125</v>
      </c>
    </row>
    <row r="8" spans="1:15">
      <c r="A8" s="3" t="s">
        <v>126</v>
      </c>
      <c r="B8" s="28" t="s">
        <v>118</v>
      </c>
      <c r="C8" s="28">
        <v>4</v>
      </c>
      <c r="D8" s="28" t="s">
        <v>119</v>
      </c>
      <c r="E8" s="28" t="s">
        <v>120</v>
      </c>
      <c r="F8" s="29">
        <v>1.4</v>
      </c>
      <c r="G8" s="29">
        <v>1.2</v>
      </c>
      <c r="H8" s="25">
        <f>ROUND(INDEX(เลเวล!$H$5:$H$104,C8)*F8*IF(D8="บอส",ตั้งค่า!$C$29,1),0)</f>
        <v>101</v>
      </c>
      <c r="I8" s="25">
        <f>ROUND(INDEX(เลเวล!$F$5:$F$104,C8)*IF(D8="บอส",ตั้งค่า!$C$32,1),0)</f>
        <v>1</v>
      </c>
      <c r="J8" s="25">
        <f>ROUND(INDEX(เลเวล!$I$5:$I$104,C8)*IF(D8="บอส",ตั้งค่า!$C$31,1),0)</f>
        <v>11</v>
      </c>
      <c r="K8" s="25">
        <f>ROUND(INDEX(เลเวล!$M$5:$M$104,C8)*G8*IF(D8="บอส",ตั้งค่า!$C$30,1),0)</f>
        <v>74</v>
      </c>
      <c r="L8" s="25">
        <f>ROUND(INDEX(เลเวล!$N$5:$N$104,C8)*IF(D8="บอส",ตั้งค่า!$C$33,1),0)</f>
        <v>25</v>
      </c>
      <c r="M8" s="25">
        <f>ROUND(INDEX(เลเวล!$O$5:$O$104,C8)*IF(D8="บอส",ตั้งค่า!$C$33,1),0)</f>
        <v>37</v>
      </c>
      <c r="N8" s="25">
        <f>ROUNDUP(H8/INDEX(เลเวล!$G$5:$G$104,C8),0)</f>
        <v>6</v>
      </c>
      <c r="O8" s="3" t="s">
        <v>127</v>
      </c>
    </row>
    <row r="9" spans="1:15">
      <c r="A9" s="3" t="s">
        <v>128</v>
      </c>
      <c r="B9" s="28" t="s">
        <v>118</v>
      </c>
      <c r="C9" s="28">
        <v>5</v>
      </c>
      <c r="D9" s="28" t="s">
        <v>119</v>
      </c>
      <c r="E9" s="28" t="s">
        <v>120</v>
      </c>
      <c r="F9" s="29">
        <v>1</v>
      </c>
      <c r="G9" s="29">
        <v>1</v>
      </c>
      <c r="H9" s="25">
        <f>ROUND(INDEX(เลเวล!$H$5:$H$104,C9)*F9*IF(D9="บอส",ตั้งค่า!$C$29,1),0)</f>
        <v>82</v>
      </c>
      <c r="I9" s="25">
        <f>ROUND(INDEX(เลเวล!$F$5:$F$104,C9)*IF(D9="บอส",ตั้งค่า!$C$32,1),0)</f>
        <v>1</v>
      </c>
      <c r="J9" s="25">
        <f>ROUND(INDEX(เลเวล!$I$5:$I$104,C9)*IF(D9="บอส",ตั้งค่า!$C$31,1),0)</f>
        <v>12</v>
      </c>
      <c r="K9" s="25">
        <f>ROUND(INDEX(เลเวล!$M$5:$M$104,C9)*G9*IF(D9="บอส",ตั้งค่า!$C$30,1),0)</f>
        <v>88</v>
      </c>
      <c r="L9" s="25">
        <f>ROUND(INDEX(เลเวล!$N$5:$N$104,C9)*IF(D9="บอส",ตั้งค่า!$C$33,1),0)</f>
        <v>35</v>
      </c>
      <c r="M9" s="25">
        <f>ROUND(INDEX(เลเวล!$O$5:$O$104,C9)*IF(D9="บอส",ตั้งค่า!$C$33,1),0)</f>
        <v>53</v>
      </c>
      <c r="N9" s="25">
        <f>ROUNDUP(H9/INDEX(เลเวล!$G$5:$G$104,C9),0)</f>
        <v>4</v>
      </c>
      <c r="O9" s="3" t="s">
        <v>129</v>
      </c>
    </row>
    <row r="10" spans="1:15">
      <c r="A10" s="3" t="s">
        <v>130</v>
      </c>
      <c r="B10" s="28" t="s">
        <v>118</v>
      </c>
      <c r="C10" s="28">
        <v>7</v>
      </c>
      <c r="D10" s="28" t="s">
        <v>119</v>
      </c>
      <c r="E10" s="28" t="s">
        <v>131</v>
      </c>
      <c r="F10" s="29">
        <v>1.2</v>
      </c>
      <c r="G10" s="29">
        <v>1.1499999999999999</v>
      </c>
      <c r="H10" s="25">
        <f>ROUND(INDEX(เลเวล!$H$5:$H$104,C10)*F10*IF(D10="บอส",ตั้งค่า!$C$29,1),0)</f>
        <v>125</v>
      </c>
      <c r="I10" s="25">
        <f>ROUND(INDEX(เลเวล!$F$5:$F$104,C10)*IF(D10="บอส",ตั้งค่า!$C$32,1),0)</f>
        <v>1</v>
      </c>
      <c r="J10" s="25">
        <f>ROUND(INDEX(เลเวล!$I$5:$I$104,C10)*IF(D10="บอส",ตั้งค่า!$C$31,1),0)</f>
        <v>15</v>
      </c>
      <c r="K10" s="25">
        <f>ROUND(INDEX(เลเวล!$M$5:$M$104,C10)*G10*IF(D10="บอส",ตั้งค่า!$C$30,1),0)</f>
        <v>161</v>
      </c>
      <c r="L10" s="25">
        <f>ROUND(INDEX(เลเวล!$N$5:$N$104,C10)*IF(D10="บอส",ตั้งค่า!$C$33,1),0)</f>
        <v>56</v>
      </c>
      <c r="M10" s="25">
        <f>ROUND(INDEX(เลเวล!$O$5:$O$104,C10)*IF(D10="บอส",ตั้งค่า!$C$33,1),0)</f>
        <v>84</v>
      </c>
      <c r="N10" s="25">
        <f>ROUNDUP(H10/INDEX(เลเวล!$G$5:$G$104,C10),0)</f>
        <v>5</v>
      </c>
      <c r="O10" s="3" t="s">
        <v>132</v>
      </c>
    </row>
    <row r="11" spans="1:15">
      <c r="A11" s="3" t="s">
        <v>133</v>
      </c>
      <c r="B11" s="28" t="s">
        <v>118</v>
      </c>
      <c r="C11" s="28">
        <v>8</v>
      </c>
      <c r="D11" s="28" t="s">
        <v>119</v>
      </c>
      <c r="E11" s="28" t="s">
        <v>131</v>
      </c>
      <c r="F11" s="29">
        <v>1</v>
      </c>
      <c r="G11" s="29">
        <v>1</v>
      </c>
      <c r="H11" s="25">
        <f>ROUND(INDEX(เลเวล!$H$5:$H$104,C11)*F11*IF(D11="บอส",ตั้งค่า!$C$29,1),0)</f>
        <v>116</v>
      </c>
      <c r="I11" s="25">
        <f>ROUND(INDEX(เลเวล!$F$5:$F$104,C11)*IF(D11="บอส",ตั้งค่า!$C$32,1),0)</f>
        <v>1</v>
      </c>
      <c r="J11" s="25">
        <f>ROUND(INDEX(เลเวล!$I$5:$I$104,C11)*IF(D11="บอส",ตั้งค่า!$C$31,1),0)</f>
        <v>16</v>
      </c>
      <c r="K11" s="25">
        <f>ROUND(INDEX(เลเวล!$M$5:$M$104,C11)*G11*IF(D11="บอส",ตั้งค่า!$C$30,1),0)</f>
        <v>165</v>
      </c>
      <c r="L11" s="25">
        <f>ROUND(INDEX(เลเวล!$N$5:$N$104,C11)*IF(D11="บอส",ตั้งค่า!$C$33,1),0)</f>
        <v>66</v>
      </c>
      <c r="M11" s="25">
        <f>ROUND(INDEX(เลเวล!$O$5:$O$104,C11)*IF(D11="บอส",ตั้งค่า!$C$33,1),0)</f>
        <v>99</v>
      </c>
      <c r="N11" s="25">
        <f>ROUNDUP(H11/INDEX(เลเวล!$G$5:$G$104,C11),0)</f>
        <v>5</v>
      </c>
      <c r="O11" s="3" t="s">
        <v>134</v>
      </c>
    </row>
    <row r="12" spans="1:15">
      <c r="A12" s="30" t="s">
        <v>135</v>
      </c>
      <c r="B12" s="31" t="s">
        <v>118</v>
      </c>
      <c r="C12" s="31">
        <v>10</v>
      </c>
      <c r="D12" s="31" t="s">
        <v>136</v>
      </c>
      <c r="E12" s="31" t="s">
        <v>131</v>
      </c>
      <c r="F12" s="29">
        <v>1</v>
      </c>
      <c r="G12" s="29">
        <v>1</v>
      </c>
      <c r="H12" s="25">
        <f>ROUND(INDEX(เลเวล!$H$5:$H$104,C12)*F12*IF(D12="บอส",ตั้งค่า!$C$29,1),0)</f>
        <v>5440</v>
      </c>
      <c r="I12" s="25">
        <f>ROUND(INDEX(เลเวล!$F$5:$F$104,C12)*IF(D12="บอส",ตั้งค่า!$C$32,1),0)</f>
        <v>4</v>
      </c>
      <c r="J12" s="25">
        <f>ROUND(INDEX(เลเวล!$I$5:$I$104,C12)*IF(D12="บอส",ตั้งค่า!$C$31,1),0)</f>
        <v>45</v>
      </c>
      <c r="K12" s="25">
        <f>ROUND(INDEX(เลเวล!$M$5:$M$104,C12)*G12*IF(D12="บอส",ตั้งค่า!$C$30,1),0)</f>
        <v>5375</v>
      </c>
      <c r="L12" s="25">
        <f>ROUND(INDEX(เลเวล!$N$5:$N$104,C12)*IF(D12="บอส",ตั้งค่า!$C$33,1),0)</f>
        <v>1720</v>
      </c>
      <c r="M12" s="25">
        <f>ROUND(INDEX(เลเวล!$O$5:$O$104,C12)*IF(D12="บอส",ตั้งค่า!$C$33,1),0)</f>
        <v>2580</v>
      </c>
      <c r="N12" s="25">
        <f>ROUNDUP(H12/INDEX(เลเวล!$G$5:$G$104,C12),0)</f>
        <v>161</v>
      </c>
      <c r="O12" s="3" t="s">
        <v>137</v>
      </c>
    </row>
    <row r="13" spans="1:15">
      <c r="A13" s="3" t="s">
        <v>138</v>
      </c>
      <c r="B13" s="28" t="s">
        <v>139</v>
      </c>
      <c r="C13" s="28">
        <v>11</v>
      </c>
      <c r="D13" s="28" t="s">
        <v>119</v>
      </c>
      <c r="E13" s="28" t="s">
        <v>120</v>
      </c>
      <c r="F13" s="29">
        <v>0.8</v>
      </c>
      <c r="G13" s="29">
        <v>0.9</v>
      </c>
      <c r="H13" s="25">
        <f>ROUND(INDEX(เลเวล!$H$5:$H$104,C13)*F13*IF(D13="บอส",ตั้งค่า!$C$29,1),0)</f>
        <v>118</v>
      </c>
      <c r="I13" s="25">
        <f>ROUND(INDEX(เลเวล!$F$5:$F$104,C13)*IF(D13="บอส",ตั้งค่า!$C$32,1),0)</f>
        <v>2</v>
      </c>
      <c r="J13" s="25">
        <f>ROUND(INDEX(เลเวล!$I$5:$I$104,C13)*IF(D13="บอส",ตั้งค่า!$C$31,1),0)</f>
        <v>19</v>
      </c>
      <c r="K13" s="25">
        <f>ROUND(INDEX(เลเวล!$M$5:$M$104,C13)*G13*IF(D13="บอส",ตั้งค่า!$C$30,1),0)</f>
        <v>216</v>
      </c>
      <c r="L13" s="25">
        <f>ROUND(INDEX(เลเวล!$N$5:$N$104,C13)*IF(D13="บอส",ตั้งค่า!$C$33,1),0)</f>
        <v>96</v>
      </c>
      <c r="M13" s="25">
        <f>ROUND(INDEX(เลเวล!$O$5:$O$104,C13)*IF(D13="บอส",ตั้งค่า!$C$33,1),0)</f>
        <v>144</v>
      </c>
      <c r="N13" s="25">
        <f>ROUNDUP(H13/INDEX(เลเวล!$G$5:$G$104,C13),0)</f>
        <v>4</v>
      </c>
      <c r="O13" s="3" t="s">
        <v>140</v>
      </c>
    </row>
    <row r="14" spans="1:15">
      <c r="A14" s="3" t="s">
        <v>141</v>
      </c>
      <c r="B14" s="28" t="s">
        <v>139</v>
      </c>
      <c r="C14" s="28">
        <v>13</v>
      </c>
      <c r="D14" s="28" t="s">
        <v>119</v>
      </c>
      <c r="E14" s="28" t="s">
        <v>131</v>
      </c>
      <c r="F14" s="29">
        <v>1</v>
      </c>
      <c r="G14" s="29">
        <v>1.05</v>
      </c>
      <c r="H14" s="25">
        <f>ROUND(INDEX(เลเวล!$H$5:$H$104,C14)*F14*IF(D14="บอส",ตั้งค่า!$C$29,1),0)</f>
        <v>175</v>
      </c>
      <c r="I14" s="25">
        <f>ROUND(INDEX(เลเวล!$F$5:$F$104,C14)*IF(D14="บอส",ตั้งค่า!$C$32,1),0)</f>
        <v>2</v>
      </c>
      <c r="J14" s="25">
        <f>ROUND(INDEX(เลเวล!$I$5:$I$104,C14)*IF(D14="บอส",ตั้งค่า!$C$31,1),0)</f>
        <v>22</v>
      </c>
      <c r="K14" s="25">
        <f>ROUND(INDEX(เลเวล!$M$5:$M$104,C14)*G14*IF(D14="บอส",ตั้งค่า!$C$30,1),0)</f>
        <v>303</v>
      </c>
      <c r="L14" s="25">
        <f>ROUND(INDEX(เลเวล!$N$5:$N$104,C14)*IF(D14="บอส",ตั้งค่า!$C$33,1),0)</f>
        <v>116</v>
      </c>
      <c r="M14" s="25">
        <f>ROUND(INDEX(เลเวล!$O$5:$O$104,C14)*IF(D14="บอส",ตั้งค่า!$C$33,1),0)</f>
        <v>173</v>
      </c>
      <c r="N14" s="25">
        <f>ROUNDUP(H14/INDEX(เลเวล!$G$5:$G$104,C14),0)</f>
        <v>5</v>
      </c>
      <c r="O14" s="3" t="s">
        <v>142</v>
      </c>
    </row>
    <row r="15" spans="1:15">
      <c r="A15" s="3" t="s">
        <v>143</v>
      </c>
      <c r="B15" s="28" t="s">
        <v>139</v>
      </c>
      <c r="C15" s="28">
        <v>14</v>
      </c>
      <c r="D15" s="28" t="s">
        <v>119</v>
      </c>
      <c r="E15" s="28" t="s">
        <v>120</v>
      </c>
      <c r="F15" s="29">
        <v>1.1000000000000001</v>
      </c>
      <c r="G15" s="29">
        <v>1.05</v>
      </c>
      <c r="H15" s="25">
        <f>ROUND(INDEX(เลเวล!$H$5:$H$104,C15)*F15*IF(D15="บอส",ตั้งค่า!$C$29,1),0)</f>
        <v>208</v>
      </c>
      <c r="I15" s="25">
        <f>ROUND(INDEX(เลเวล!$F$5:$F$104,C15)*IF(D15="บอส",ตั้งค่า!$C$32,1),0)</f>
        <v>2</v>
      </c>
      <c r="J15" s="25">
        <f>ROUND(INDEX(เลเวล!$I$5:$I$104,C15)*IF(D15="บอส",ตั้งค่า!$C$31,1),0)</f>
        <v>23</v>
      </c>
      <c r="K15" s="25">
        <f>ROUND(INDEX(เลเวล!$M$5:$M$104,C15)*G15*IF(D15="บอส",ตั้งค่า!$C$30,1),0)</f>
        <v>329</v>
      </c>
      <c r="L15" s="25">
        <f>ROUND(INDEX(เลเวล!$N$5:$N$104,C15)*IF(D15="บอส",ตั้งค่า!$C$33,1),0)</f>
        <v>125</v>
      </c>
      <c r="M15" s="25">
        <f>ROUND(INDEX(เลเวล!$O$5:$O$104,C15)*IF(D15="บอส",ตั้งค่า!$C$33,1),0)</f>
        <v>188</v>
      </c>
      <c r="N15" s="25">
        <f>ROUNDUP(H15/INDEX(เลเวล!$G$5:$G$104,C15),0)</f>
        <v>5</v>
      </c>
      <c r="O15" s="3" t="s">
        <v>144</v>
      </c>
    </row>
    <row r="16" spans="1:15">
      <c r="A16" s="3" t="s">
        <v>145</v>
      </c>
      <c r="B16" s="28" t="s">
        <v>139</v>
      </c>
      <c r="C16" s="28">
        <v>16</v>
      </c>
      <c r="D16" s="28" t="s">
        <v>119</v>
      </c>
      <c r="E16" s="28" t="s">
        <v>131</v>
      </c>
      <c r="F16" s="29">
        <v>0.9</v>
      </c>
      <c r="G16" s="29">
        <v>1.1000000000000001</v>
      </c>
      <c r="H16" s="25">
        <f>ROUND(INDEX(เลเวล!$H$5:$H$104,C16)*F16*IF(D16="บอส",ตั้งค่า!$C$29,1),0)</f>
        <v>193</v>
      </c>
      <c r="I16" s="25">
        <f>ROUND(INDEX(เลเวล!$F$5:$F$104,C16)*IF(D16="บอส",ตั้งค่า!$C$32,1),0)</f>
        <v>3</v>
      </c>
      <c r="J16" s="25">
        <f>ROUND(INDEX(เลเวล!$I$5:$I$104,C16)*IF(D16="บอส",ตั้งค่า!$C$31,1),0)</f>
        <v>26</v>
      </c>
      <c r="K16" s="25">
        <f>ROUND(INDEX(เลเวล!$M$5:$M$104,C16)*G16*IF(D16="บอส",ตั้งค่า!$C$30,1),0)</f>
        <v>397</v>
      </c>
      <c r="L16" s="25">
        <f>ROUND(INDEX(เลเวล!$N$5:$N$104,C16)*IF(D16="บอส",ตั้งค่า!$C$33,1),0)</f>
        <v>144</v>
      </c>
      <c r="M16" s="25">
        <f>ROUND(INDEX(เลเวล!$O$5:$O$104,C16)*IF(D16="บอส",ตั้งค่า!$C$33,1),0)</f>
        <v>217</v>
      </c>
      <c r="N16" s="25">
        <f>ROUNDUP(H16/INDEX(เลเวล!$G$5:$G$104,C16),0)</f>
        <v>4</v>
      </c>
      <c r="O16" s="3" t="s">
        <v>146</v>
      </c>
    </row>
    <row r="17" spans="1:15">
      <c r="A17" s="3" t="s">
        <v>147</v>
      </c>
      <c r="B17" s="28" t="s">
        <v>139</v>
      </c>
      <c r="C17" s="28">
        <v>18</v>
      </c>
      <c r="D17" s="28" t="s">
        <v>119</v>
      </c>
      <c r="E17" s="28" t="s">
        <v>131</v>
      </c>
      <c r="F17" s="29">
        <v>1.4</v>
      </c>
      <c r="G17" s="29">
        <v>1.25</v>
      </c>
      <c r="H17" s="25">
        <f>ROUND(INDEX(เลเวล!$H$5:$H$104,C17)*F17*IF(D17="บอส",ตั้งค่า!$C$29,1),0)</f>
        <v>344</v>
      </c>
      <c r="I17" s="25">
        <f>ROUND(INDEX(เลเวล!$F$5:$F$104,C17)*IF(D17="บอส",ตั้งค่า!$C$32,1),0)</f>
        <v>3</v>
      </c>
      <c r="J17" s="25">
        <f>ROUND(INDEX(เลเวล!$I$5:$I$104,C17)*IF(D17="บอส",ตั้งค่า!$C$31,1),0)</f>
        <v>29</v>
      </c>
      <c r="K17" s="25">
        <f>ROUND(INDEX(เลเวล!$M$5:$M$104,C17)*G17*IF(D17="บอส",ตั้งค่า!$C$30,1),0)</f>
        <v>511</v>
      </c>
      <c r="L17" s="25">
        <f>ROUND(INDEX(เลเวล!$N$5:$N$104,C17)*IF(D17="บอส",ตั้งค่า!$C$33,1),0)</f>
        <v>164</v>
      </c>
      <c r="M17" s="25">
        <f>ROUND(INDEX(เลเวล!$O$5:$O$104,C17)*IF(D17="บอส",ตั้งค่า!$C$33,1),0)</f>
        <v>245</v>
      </c>
      <c r="N17" s="25">
        <f>ROUNDUP(H17/INDEX(เลเวล!$G$5:$G$104,C17),0)</f>
        <v>6</v>
      </c>
      <c r="O17" s="3" t="s">
        <v>148</v>
      </c>
    </row>
    <row r="18" spans="1:15">
      <c r="A18" s="30" t="s">
        <v>149</v>
      </c>
      <c r="B18" s="31" t="s">
        <v>139</v>
      </c>
      <c r="C18" s="31">
        <v>20</v>
      </c>
      <c r="D18" s="31" t="s">
        <v>136</v>
      </c>
      <c r="E18" s="31" t="s">
        <v>131</v>
      </c>
      <c r="F18" s="29">
        <v>1</v>
      </c>
      <c r="G18" s="29">
        <v>1</v>
      </c>
      <c r="H18" s="25">
        <f>ROUND(INDEX(เลเวล!$H$5:$H$104,C18)*F18*IF(D18="บอส",ตั้งค่า!$C$29,1),0)</f>
        <v>11000</v>
      </c>
      <c r="I18" s="25">
        <f>ROUND(INDEX(เลเวล!$F$5:$F$104,C18)*IF(D18="บอส",ตั้งค่า!$C$32,1),0)</f>
        <v>8</v>
      </c>
      <c r="J18" s="25">
        <f>ROUND(INDEX(เลเวล!$I$5:$I$104,C18)*IF(D18="บอส",ตั้งค่า!$C$31,1),0)</f>
        <v>80</v>
      </c>
      <c r="K18" s="25">
        <f>ROUND(INDEX(เลเวล!$M$5:$M$104,C18)*G18*IF(D18="บอส",ตั้งค่า!$C$30,1),0)</f>
        <v>11425</v>
      </c>
      <c r="L18" s="25">
        <f>ROUND(INDEX(เลเวล!$N$5:$N$104,C18)*IF(D18="บอส",ตั้งค่า!$C$33,1),0)</f>
        <v>3660</v>
      </c>
      <c r="M18" s="25">
        <f>ROUND(INDEX(เลเวล!$O$5:$O$104,C18)*IF(D18="บอส",ตั้งค่า!$C$33,1),0)</f>
        <v>5480</v>
      </c>
      <c r="N18" s="25">
        <f>ROUNDUP(H18/INDEX(เลเวล!$G$5:$G$104,C18),0)</f>
        <v>160</v>
      </c>
      <c r="O18" s="3" t="s">
        <v>150</v>
      </c>
    </row>
    <row r="19" spans="1:15">
      <c r="A19" s="3" t="s">
        <v>151</v>
      </c>
      <c r="B19" s="28" t="s">
        <v>152</v>
      </c>
      <c r="C19" s="28">
        <v>22</v>
      </c>
      <c r="D19" s="28" t="s">
        <v>119</v>
      </c>
      <c r="E19" s="28" t="s">
        <v>131</v>
      </c>
      <c r="F19" s="29">
        <v>1.2</v>
      </c>
      <c r="G19" s="29">
        <v>1.1000000000000001</v>
      </c>
      <c r="H19" s="25">
        <f>ROUND(INDEX(เลเวล!$H$5:$H$104,C19)*F19*IF(D19="บอส",ตั้งค่า!$C$29,1),0)</f>
        <v>373</v>
      </c>
      <c r="I19" s="25">
        <f>ROUND(INDEX(เลเวล!$F$5:$F$104,C19)*IF(D19="บอส",ตั้งค่า!$C$32,1),0)</f>
        <v>4</v>
      </c>
      <c r="J19" s="25">
        <f>ROUND(INDEX(เลเวล!$I$5:$I$104,C19)*IF(D19="บอส",ตั้งค่า!$C$31,1),0)</f>
        <v>35</v>
      </c>
      <c r="K19" s="25">
        <f>ROUND(INDEX(เลเวล!$M$5:$M$104,C19)*G19*IF(D19="บอส",ตั้งค่า!$C$30,1),0)</f>
        <v>554</v>
      </c>
      <c r="L19" s="25">
        <f>ROUND(INDEX(เลเวล!$N$5:$N$104,C19)*IF(D19="บอส",ตั้งค่า!$C$33,1),0)</f>
        <v>202</v>
      </c>
      <c r="M19" s="25">
        <f>ROUND(INDEX(เลเวล!$O$5:$O$104,C19)*IF(D19="บอส",ตั้งค่า!$C$33,1),0)</f>
        <v>302</v>
      </c>
      <c r="N19" s="25">
        <f>ROUNDUP(H19/INDEX(เลเวล!$G$5:$G$104,C19),0)</f>
        <v>5</v>
      </c>
      <c r="O19" s="3" t="s">
        <v>153</v>
      </c>
    </row>
    <row r="20" spans="1:15">
      <c r="A20" s="3" t="s">
        <v>154</v>
      </c>
      <c r="B20" s="28" t="s">
        <v>152</v>
      </c>
      <c r="C20" s="28">
        <v>24</v>
      </c>
      <c r="D20" s="28" t="s">
        <v>119</v>
      </c>
      <c r="E20" s="28" t="s">
        <v>131</v>
      </c>
      <c r="F20" s="29">
        <v>0.8</v>
      </c>
      <c r="G20" s="29">
        <v>0.9</v>
      </c>
      <c r="H20" s="25">
        <f>ROUND(INDEX(เลเวล!$H$5:$H$104,C20)*F20*IF(D20="บอส",ตั้งค่า!$C$29,1),0)</f>
        <v>277</v>
      </c>
      <c r="I20" s="25">
        <f>ROUND(INDEX(เลเวล!$F$5:$F$104,C20)*IF(D20="บอส",ตั้งค่า!$C$32,1),0)</f>
        <v>5</v>
      </c>
      <c r="J20" s="25">
        <f>ROUND(INDEX(เลเวล!$I$5:$I$104,C20)*IF(D20="บอส",ตั้งค่า!$C$31,1),0)</f>
        <v>39</v>
      </c>
      <c r="K20" s="25">
        <f>ROUND(INDEX(เลเวล!$M$5:$M$104,C20)*G20*IF(D20="บอส",ตั้งค่า!$C$30,1),0)</f>
        <v>497</v>
      </c>
      <c r="L20" s="25">
        <f>ROUND(INDEX(เลเวล!$N$5:$N$104,C20)*IF(D20="บอส",ตั้งค่า!$C$33,1),0)</f>
        <v>221</v>
      </c>
      <c r="M20" s="25">
        <f>ROUND(INDEX(เลเวล!$O$5:$O$104,C20)*IF(D20="บอส",ตั้งค่า!$C$33,1),0)</f>
        <v>331</v>
      </c>
      <c r="N20" s="25">
        <f>ROUNDUP(H20/INDEX(เลเวล!$G$5:$G$104,C20),0)</f>
        <v>4</v>
      </c>
      <c r="O20" s="3" t="s">
        <v>155</v>
      </c>
    </row>
    <row r="21" spans="1:15">
      <c r="A21" s="3" t="s">
        <v>156</v>
      </c>
      <c r="B21" s="28" t="s">
        <v>152</v>
      </c>
      <c r="C21" s="28">
        <v>26</v>
      </c>
      <c r="D21" s="28" t="s">
        <v>119</v>
      </c>
      <c r="E21" s="28" t="s">
        <v>131</v>
      </c>
      <c r="F21" s="29">
        <v>0.9</v>
      </c>
      <c r="G21" s="29">
        <v>1.05</v>
      </c>
      <c r="H21" s="25">
        <f>ROUND(INDEX(เลเวล!$H$5:$H$104,C21)*F21*IF(D21="บอส",ตั้งค่า!$C$29,1),0)</f>
        <v>348</v>
      </c>
      <c r="I21" s="25">
        <f>ROUND(INDEX(เลเวล!$F$5:$F$104,C21)*IF(D21="บอส",ตั้งค่า!$C$32,1),0)</f>
        <v>5</v>
      </c>
      <c r="J21" s="25">
        <f>ROUND(INDEX(เลเวล!$I$5:$I$104,C21)*IF(D21="บอส",ตั้งค่า!$C$31,1),0)</f>
        <v>42</v>
      </c>
      <c r="K21" s="25">
        <f>ROUND(INDEX(เลเวล!$M$5:$M$104,C21)*G21*IF(D21="บอส",ตั้งค่า!$C$30,1),0)</f>
        <v>629</v>
      </c>
      <c r="L21" s="25">
        <f>ROUND(INDEX(เลเวล!$N$5:$N$104,C21)*IF(D21="บอส",ตั้งค่า!$C$33,1),0)</f>
        <v>240</v>
      </c>
      <c r="M21" s="25">
        <f>ROUND(INDEX(เลเวล!$O$5:$O$104,C21)*IF(D21="บอส",ตั้งค่า!$C$33,1),0)</f>
        <v>359</v>
      </c>
      <c r="N21" s="25">
        <f>ROUNDUP(H21/INDEX(เลเวล!$G$5:$G$104,C21),0)</f>
        <v>4</v>
      </c>
      <c r="O21" s="3" t="s">
        <v>157</v>
      </c>
    </row>
    <row r="22" spans="1:15">
      <c r="A22" s="3" t="s">
        <v>158</v>
      </c>
      <c r="B22" s="28" t="s">
        <v>152</v>
      </c>
      <c r="C22" s="28">
        <v>29</v>
      </c>
      <c r="D22" s="28" t="s">
        <v>119</v>
      </c>
      <c r="E22" s="28" t="s">
        <v>131</v>
      </c>
      <c r="F22" s="29">
        <v>1.1000000000000001</v>
      </c>
      <c r="G22" s="29">
        <v>1.1000000000000001</v>
      </c>
      <c r="H22" s="25">
        <f>ROUND(INDEX(เลเวล!$H$5:$H$104,C22)*F22*IF(D22="บอส",ตั้งค่า!$C$29,1),0)</f>
        <v>495</v>
      </c>
      <c r="I22" s="25">
        <f>ROUND(INDEX(เลเวล!$F$5:$F$104,C22)*IF(D22="บอส",ตั้งค่า!$C$32,1),0)</f>
        <v>6</v>
      </c>
      <c r="J22" s="25">
        <f>ROUND(INDEX(เลเวล!$I$5:$I$104,C22)*IF(D22="บอส",ตั้งค่า!$C$31,1),0)</f>
        <v>48</v>
      </c>
      <c r="K22" s="25">
        <f>ROUND(INDEX(เลเวล!$M$5:$M$104,C22)*G22*IF(D22="บอส",ตั้งค่า!$C$30,1),0)</f>
        <v>737</v>
      </c>
      <c r="L22" s="25">
        <f>ROUND(INDEX(เลเวล!$N$5:$N$104,C22)*IF(D22="บอส",ตั้งค่า!$C$33,1),0)</f>
        <v>268</v>
      </c>
      <c r="M22" s="25">
        <f>ROUND(INDEX(เลเวล!$O$5:$O$104,C22)*IF(D22="บอส",ตั้งค่า!$C$33,1),0)</f>
        <v>402</v>
      </c>
      <c r="N22" s="25">
        <f>ROUNDUP(H22/INDEX(เลเวล!$G$5:$G$104,C22),0)</f>
        <v>5</v>
      </c>
      <c r="O22" s="3" t="s">
        <v>159</v>
      </c>
    </row>
    <row r="23" spans="1:15">
      <c r="A23" s="3" t="s">
        <v>160</v>
      </c>
      <c r="B23" s="28" t="s">
        <v>152</v>
      </c>
      <c r="C23" s="28">
        <v>32</v>
      </c>
      <c r="D23" s="28" t="s">
        <v>119</v>
      </c>
      <c r="E23" s="28" t="s">
        <v>131</v>
      </c>
      <c r="F23" s="29">
        <v>1.6</v>
      </c>
      <c r="G23" s="29">
        <v>1.35</v>
      </c>
      <c r="H23" s="25">
        <f>ROUND(INDEX(เลเวล!$H$5:$H$104,C23)*F23*IF(D23="บอส",ตั้งค่า!$C$29,1),0)</f>
        <v>830</v>
      </c>
      <c r="I23" s="25">
        <f>ROUND(INDEX(เลเวล!$F$5:$F$104,C23)*IF(D23="บอส",ตั้งค่า!$C$32,1),0)</f>
        <v>7</v>
      </c>
      <c r="J23" s="25">
        <f>ROUND(INDEX(เลเวล!$I$5:$I$104,C23)*IF(D23="บอส",ตั้งค่า!$C$31,1),0)</f>
        <v>54</v>
      </c>
      <c r="K23" s="25">
        <f>ROUND(INDEX(เลเวล!$M$5:$M$104,C23)*G23*IF(D23="บอส",ตั้งค่า!$C$30,1),0)</f>
        <v>999</v>
      </c>
      <c r="L23" s="25">
        <f>ROUND(INDEX(เลเวล!$N$5:$N$104,C23)*IF(D23="บอส",ตั้งค่า!$C$33,1),0)</f>
        <v>296</v>
      </c>
      <c r="M23" s="25">
        <f>ROUND(INDEX(เลเวล!$O$5:$O$104,C23)*IF(D23="บอส",ตั้งค่า!$C$33,1),0)</f>
        <v>444</v>
      </c>
      <c r="N23" s="25">
        <f>ROUNDUP(H23/INDEX(เลเวล!$G$5:$G$104,C23),0)</f>
        <v>7</v>
      </c>
      <c r="O23" s="3" t="s">
        <v>161</v>
      </c>
    </row>
    <row r="24" spans="1:15">
      <c r="A24" s="30" t="s">
        <v>162</v>
      </c>
      <c r="B24" s="31" t="s">
        <v>152</v>
      </c>
      <c r="C24" s="31">
        <v>35</v>
      </c>
      <c r="D24" s="31" t="s">
        <v>136</v>
      </c>
      <c r="E24" s="31" t="s">
        <v>131</v>
      </c>
      <c r="F24" s="29">
        <v>1</v>
      </c>
      <c r="G24" s="29">
        <v>1</v>
      </c>
      <c r="H24" s="25">
        <f>ROUND(INDEX(เลเวล!$H$5:$H$104,C24)*F24*IF(D24="บอส",ตั้งค่า!$C$29,1),0)</f>
        <v>23840</v>
      </c>
      <c r="I24" s="25">
        <f>ROUND(INDEX(เลเวล!$F$5:$F$104,C24)*IF(D24="บอส",ตั้งค่า!$C$32,1),0)</f>
        <v>16</v>
      </c>
      <c r="J24" s="25">
        <f>ROUND(INDEX(เลเวล!$I$5:$I$104,C24)*IF(D24="บอส",ตั้งค่า!$C$31,1),0)</f>
        <v>153</v>
      </c>
      <c r="K24" s="25">
        <f>ROUND(INDEX(เลเวล!$M$5:$M$104,C24)*G24*IF(D24="บอส",ตั้งค่า!$C$30,1),0)</f>
        <v>20275</v>
      </c>
      <c r="L24" s="25">
        <f>ROUND(INDEX(เลเวล!$N$5:$N$104,C24)*IF(D24="บอส",ตั้งค่า!$C$33,1),0)</f>
        <v>6480</v>
      </c>
      <c r="M24" s="25">
        <f>ROUND(INDEX(เลเวล!$O$5:$O$104,C24)*IF(D24="บอส",ตั้งค่า!$C$33,1),0)</f>
        <v>9740</v>
      </c>
      <c r="N24" s="25">
        <f>ROUNDUP(H24/INDEX(เลเวล!$G$5:$G$104,C24),0)</f>
        <v>161</v>
      </c>
      <c r="O24" s="3" t="s">
        <v>163</v>
      </c>
    </row>
    <row r="25" spans="1:15">
      <c r="A25" s="3" t="s">
        <v>164</v>
      </c>
      <c r="B25" s="28" t="s">
        <v>165</v>
      </c>
      <c r="C25" s="28">
        <v>38</v>
      </c>
      <c r="D25" s="28" t="s">
        <v>119</v>
      </c>
      <c r="E25" s="28" t="s">
        <v>131</v>
      </c>
      <c r="F25" s="29">
        <v>1</v>
      </c>
      <c r="G25" s="29">
        <v>1.05</v>
      </c>
      <c r="H25" s="25">
        <f>ROUND(INDEX(เลเวล!$H$5:$H$104,C25)*F25*IF(D25="บอส",ตั้งค่า!$C$29,1),0)</f>
        <v>680</v>
      </c>
      <c r="I25" s="25">
        <f>ROUND(INDEX(เลเวล!$F$5:$F$104,C25)*IF(D25="บอส",ตั้งค่า!$C$32,1),0)</f>
        <v>9</v>
      </c>
      <c r="J25" s="25">
        <f>ROUND(INDEX(เลเวล!$I$5:$I$104,C25)*IF(D25="บอส",ตั้งค่า!$C$31,1),0)</f>
        <v>68</v>
      </c>
      <c r="K25" s="25">
        <f>ROUND(INDEX(เลเวล!$M$5:$M$104,C25)*G25*IF(D25="บอส",ตั้งค่า!$C$30,1),0)</f>
        <v>925</v>
      </c>
      <c r="L25" s="25">
        <f>ROUND(INDEX(เลเวล!$N$5:$N$104,C25)*IF(D25="บอส",ตั้งค่า!$C$33,1),0)</f>
        <v>352</v>
      </c>
      <c r="M25" s="25">
        <f>ROUND(INDEX(เลเวล!$O$5:$O$104,C25)*IF(D25="บอส",ตั้งค่า!$C$33,1),0)</f>
        <v>529</v>
      </c>
      <c r="N25" s="25">
        <f>ROUNDUP(H25/INDEX(เลเวล!$G$5:$G$104,C25),0)</f>
        <v>5</v>
      </c>
      <c r="O25" s="3" t="s">
        <v>166</v>
      </c>
    </row>
    <row r="26" spans="1:15">
      <c r="A26" s="3" t="s">
        <v>167</v>
      </c>
      <c r="B26" s="28" t="s">
        <v>165</v>
      </c>
      <c r="C26" s="28">
        <v>41</v>
      </c>
      <c r="D26" s="28" t="s">
        <v>119</v>
      </c>
      <c r="E26" s="28" t="s">
        <v>131</v>
      </c>
      <c r="F26" s="29">
        <v>0.8</v>
      </c>
      <c r="G26" s="29">
        <v>1</v>
      </c>
      <c r="H26" s="25">
        <f>ROUND(INDEX(เลเวล!$H$5:$H$104,C26)*F26*IF(D26="บอส",ตั้งค่า!$C$29,1),0)</f>
        <v>618</v>
      </c>
      <c r="I26" s="25">
        <f>ROUND(INDEX(เลเวล!$F$5:$F$104,C26)*IF(D26="บอส",ตั้งค่า!$C$32,1),0)</f>
        <v>10</v>
      </c>
      <c r="J26" s="25">
        <f>ROUND(INDEX(เลเวล!$I$5:$I$104,C26)*IF(D26="บอส",ตั้งค่า!$C$31,1),0)</f>
        <v>76</v>
      </c>
      <c r="K26" s="25">
        <f>ROUND(INDEX(เลเวล!$M$5:$M$104,C26)*G26*IF(D26="บอส",ตั้งค่า!$C$30,1),0)</f>
        <v>951</v>
      </c>
      <c r="L26" s="25">
        <f>ROUND(INDEX(เลเวล!$N$5:$N$104,C26)*IF(D26="บอส",ตั้งค่า!$C$33,1),0)</f>
        <v>380</v>
      </c>
      <c r="M26" s="25">
        <f>ROUND(INDEX(เลเวล!$O$5:$O$104,C26)*IF(D26="บอส",ตั้งค่า!$C$33,1),0)</f>
        <v>571</v>
      </c>
      <c r="N26" s="25">
        <f>ROUNDUP(H26/INDEX(เลเวล!$G$5:$G$104,C26),0)</f>
        <v>4</v>
      </c>
      <c r="O26" s="3" t="s">
        <v>168</v>
      </c>
    </row>
    <row r="27" spans="1:15">
      <c r="A27" s="3" t="s">
        <v>169</v>
      </c>
      <c r="B27" s="28" t="s">
        <v>165</v>
      </c>
      <c r="C27" s="28">
        <v>43</v>
      </c>
      <c r="D27" s="28" t="s">
        <v>119</v>
      </c>
      <c r="E27" s="28" t="s">
        <v>131</v>
      </c>
      <c r="F27" s="29">
        <v>1</v>
      </c>
      <c r="G27" s="29">
        <v>1</v>
      </c>
      <c r="H27" s="25">
        <f>ROUND(INDEX(เลเวล!$H$5:$H$104,C27)*F27*IF(D27="บอส",ตั้งค่า!$C$29,1),0)</f>
        <v>838</v>
      </c>
      <c r="I27" s="25">
        <f>ROUND(INDEX(เลเวล!$F$5:$F$104,C27)*IF(D27="บอส",ตั้งค่า!$C$32,1),0)</f>
        <v>11</v>
      </c>
      <c r="J27" s="25">
        <f>ROUND(INDEX(เลเวล!$I$5:$I$104,C27)*IF(D27="บอส",ตั้งค่า!$C$31,1),0)</f>
        <v>81</v>
      </c>
      <c r="K27" s="25">
        <f>ROUND(INDEX(เลเวล!$M$5:$M$104,C27)*G27*IF(D27="บอส",ตั้งค่า!$C$30,1),0)</f>
        <v>998</v>
      </c>
      <c r="L27" s="25">
        <f>ROUND(INDEX(เลเวล!$N$5:$N$104,C27)*IF(D27="บอส",ตั้งค่า!$C$33,1),0)</f>
        <v>399</v>
      </c>
      <c r="M27" s="25">
        <f>ROUND(INDEX(เลเวล!$O$5:$O$104,C27)*IF(D27="บอส",ตั้งค่า!$C$33,1),0)</f>
        <v>599</v>
      </c>
      <c r="N27" s="25">
        <f>ROUNDUP(H27/INDEX(เลเวล!$G$5:$G$104,C27),0)</f>
        <v>4</v>
      </c>
      <c r="O27" s="3" t="s">
        <v>170</v>
      </c>
    </row>
    <row r="28" spans="1:15">
      <c r="A28" s="3" t="s">
        <v>171</v>
      </c>
      <c r="B28" s="28" t="s">
        <v>165</v>
      </c>
      <c r="C28" s="28">
        <v>46</v>
      </c>
      <c r="D28" s="28" t="s">
        <v>119</v>
      </c>
      <c r="E28" s="28" t="s">
        <v>131</v>
      </c>
      <c r="F28" s="29">
        <v>1.2</v>
      </c>
      <c r="G28" s="29">
        <v>1.1000000000000001</v>
      </c>
      <c r="H28" s="25">
        <f>ROUND(INDEX(เลเวล!$H$5:$H$104,C28)*F28*IF(D28="บอส",ตั้งค่า!$C$29,1),0)</f>
        <v>1136</v>
      </c>
      <c r="I28" s="25">
        <f>ROUND(INDEX(เลเวล!$F$5:$F$104,C28)*IF(D28="บอส",ตั้งค่า!$C$32,1),0)</f>
        <v>12</v>
      </c>
      <c r="J28" s="25">
        <f>ROUND(INDEX(เลเวล!$I$5:$I$104,C28)*IF(D28="บอส",ตั้งค่า!$C$31,1),0)</f>
        <v>90</v>
      </c>
      <c r="K28" s="25">
        <f>ROUND(INDEX(เลเวล!$M$5:$M$104,C28)*G28*IF(D28="บอส",ตั้งค่า!$C$30,1),0)</f>
        <v>1175</v>
      </c>
      <c r="L28" s="25">
        <f>ROUND(INDEX(เลเวล!$N$5:$N$104,C28)*IF(D28="บอส",ตั้งค่า!$C$33,1),0)</f>
        <v>427</v>
      </c>
      <c r="M28" s="25">
        <f>ROUND(INDEX(เลเวล!$O$5:$O$104,C28)*IF(D28="บอส",ตั้งค่า!$C$33,1),0)</f>
        <v>641</v>
      </c>
      <c r="N28" s="25">
        <f>ROUNDUP(H28/INDEX(เลเวล!$G$5:$G$104,C28),0)</f>
        <v>5</v>
      </c>
      <c r="O28" s="3" t="s">
        <v>172</v>
      </c>
    </row>
    <row r="29" spans="1:15">
      <c r="A29" s="3" t="s">
        <v>173</v>
      </c>
      <c r="B29" s="28" t="s">
        <v>165</v>
      </c>
      <c r="C29" s="28">
        <v>50</v>
      </c>
      <c r="D29" s="28" t="s">
        <v>119</v>
      </c>
      <c r="E29" s="28" t="s">
        <v>131</v>
      </c>
      <c r="F29" s="29">
        <v>1.5</v>
      </c>
      <c r="G29" s="29">
        <v>1.3</v>
      </c>
      <c r="H29" s="25">
        <f>ROUND(INDEX(เลเวล!$H$5:$H$104,C29)*F29*IF(D29="บอส",ตั้งค่า!$C$29,1),0)</f>
        <v>1652</v>
      </c>
      <c r="I29" s="25">
        <f>ROUND(INDEX(เลเวล!$F$5:$F$104,C29)*IF(D29="บอส",ตั้งค่า!$C$32,1),0)</f>
        <v>15</v>
      </c>
      <c r="J29" s="25">
        <f>ROUND(INDEX(เลเวล!$I$5:$I$104,C29)*IF(D29="บอส",ตั้งค่า!$C$31,1),0)</f>
        <v>102</v>
      </c>
      <c r="K29" s="25">
        <f>ROUND(INDEX(เลเวล!$M$5:$M$104,C29)*G29*IF(D29="บอส",ตั้งค่า!$C$30,1),0)</f>
        <v>1511</v>
      </c>
      <c r="L29" s="25">
        <f>ROUND(INDEX(เลเวล!$N$5:$N$104,C29)*IF(D29="บอส",ตั้งค่า!$C$33,1),0)</f>
        <v>465</v>
      </c>
      <c r="M29" s="25">
        <f>ROUND(INDEX(เลเวล!$O$5:$O$104,C29)*IF(D29="บอส",ตั้งค่า!$C$33,1),0)</f>
        <v>697</v>
      </c>
      <c r="N29" s="25">
        <f>ROUNDUP(H29/INDEX(เลเวล!$G$5:$G$104,C29),0)</f>
        <v>7</v>
      </c>
      <c r="O29" s="3" t="s">
        <v>174</v>
      </c>
    </row>
    <row r="30" spans="1:15">
      <c r="A30" s="30" t="s">
        <v>175</v>
      </c>
      <c r="B30" s="31" t="s">
        <v>165</v>
      </c>
      <c r="C30" s="31">
        <v>55</v>
      </c>
      <c r="D30" s="31" t="s">
        <v>136</v>
      </c>
      <c r="E30" s="31" t="s">
        <v>131</v>
      </c>
      <c r="F30" s="29">
        <v>1</v>
      </c>
      <c r="G30" s="29">
        <v>1</v>
      </c>
      <c r="H30" s="25">
        <f>ROUND(INDEX(เลเวล!$H$5:$H$104,C30)*F30*IF(D30="บอส",ตั้งค่า!$C$29,1),0)</f>
        <v>53200</v>
      </c>
      <c r="I30" s="25">
        <f>ROUND(INDEX(เลเวล!$F$5:$F$104,C30)*IF(D30="บอส",ตั้งค่า!$C$32,1),0)</f>
        <v>34</v>
      </c>
      <c r="J30" s="25">
        <f>ROUND(INDEX(เลเวล!$I$5:$I$104,C30)*IF(D30="บอส",ตั้งค่า!$C$31,1),0)</f>
        <v>298</v>
      </c>
      <c r="K30" s="25">
        <f>ROUND(INDEX(เลเวล!$M$5:$M$104,C30)*G30*IF(D30="บอส",ตั้งค่า!$C$30,1),0)</f>
        <v>31975</v>
      </c>
      <c r="L30" s="25">
        <f>ROUND(INDEX(เลเวล!$N$5:$N$104,C30)*IF(D30="บอส",ตั้งค่า!$C$33,1),0)</f>
        <v>10240</v>
      </c>
      <c r="M30" s="25">
        <f>ROUND(INDEX(เลเวล!$O$5:$O$104,C30)*IF(D30="บอส",ตั้งค่า!$C$33,1),0)</f>
        <v>15340</v>
      </c>
      <c r="N30" s="25">
        <f>ROUNDUP(H30/INDEX(เลเวล!$G$5:$G$104,C30),0)</f>
        <v>160</v>
      </c>
      <c r="O30" s="3" t="s">
        <v>176</v>
      </c>
    </row>
    <row r="31" spans="1:15">
      <c r="A31" s="3" t="s">
        <v>177</v>
      </c>
      <c r="B31" s="28" t="s">
        <v>178</v>
      </c>
      <c r="C31" s="28">
        <v>58</v>
      </c>
      <c r="D31" s="28" t="s">
        <v>119</v>
      </c>
      <c r="E31" s="28" t="s">
        <v>131</v>
      </c>
      <c r="F31" s="29">
        <v>1.3</v>
      </c>
      <c r="G31" s="29">
        <v>1.1499999999999999</v>
      </c>
      <c r="H31" s="25">
        <f>ROUND(INDEX(เลเวล!$H$5:$H$104,C31)*F31*IF(D31="บอส",ตั้งค่า!$C$29,1),0)</f>
        <v>1927</v>
      </c>
      <c r="I31" s="25">
        <f>ROUND(INDEX(เลเวล!$F$5:$F$104,C31)*IF(D31="บอส",ตั้งค่า!$C$32,1),0)</f>
        <v>19</v>
      </c>
      <c r="J31" s="25">
        <f>ROUND(INDEX(เลเวล!$I$5:$I$104,C31)*IF(D31="บอส",ตั้งค่า!$C$31,1),0)</f>
        <v>130</v>
      </c>
      <c r="K31" s="25">
        <f>ROUND(INDEX(เลเวล!$M$5:$M$104,C31)*G31*IF(D31="บอส",ตั้งค่า!$C$30,1),0)</f>
        <v>1551</v>
      </c>
      <c r="L31" s="25">
        <f>ROUND(INDEX(เลเวล!$N$5:$N$104,C31)*IF(D31="บอส",ตั้งค่า!$C$33,1),0)</f>
        <v>540</v>
      </c>
      <c r="M31" s="25">
        <f>ROUND(INDEX(เลเวล!$O$5:$O$104,C31)*IF(D31="บอส",ตั้งค่า!$C$33,1),0)</f>
        <v>809</v>
      </c>
      <c r="N31" s="25">
        <f>ROUNDUP(H31/INDEX(เลเวล!$G$5:$G$104,C31),0)</f>
        <v>6</v>
      </c>
      <c r="O31" s="3" t="s">
        <v>179</v>
      </c>
    </row>
    <row r="32" spans="1:15">
      <c r="A32" s="3" t="s">
        <v>180</v>
      </c>
      <c r="B32" s="28" t="s">
        <v>178</v>
      </c>
      <c r="C32" s="28">
        <v>61</v>
      </c>
      <c r="D32" s="28" t="s">
        <v>119</v>
      </c>
      <c r="E32" s="28" t="s">
        <v>131</v>
      </c>
      <c r="F32" s="29">
        <v>1.2</v>
      </c>
      <c r="G32" s="29">
        <v>1.1000000000000001</v>
      </c>
      <c r="H32" s="25">
        <f>ROUND(INDEX(เลเวล!$H$5:$H$104,C32)*F32*IF(D32="บอส",ตั้งค่า!$C$29,1),0)</f>
        <v>1973</v>
      </c>
      <c r="I32" s="25">
        <f>ROUND(INDEX(เลเวล!$F$5:$F$104,C32)*IF(D32="บอส",ตั้งค่า!$C$32,1),0)</f>
        <v>22</v>
      </c>
      <c r="J32" s="25">
        <f>ROUND(INDEX(เลเวล!$I$5:$I$104,C32)*IF(D32="บอส",ตั้งค่า!$C$31,1),0)</f>
        <v>143</v>
      </c>
      <c r="K32" s="25">
        <f>ROUND(INDEX(เลเวล!$M$5:$M$104,C32)*G32*IF(D32="บอส",ตั้งค่า!$C$30,1),0)</f>
        <v>1561</v>
      </c>
      <c r="L32" s="25">
        <f>ROUND(INDEX(เลเวล!$N$5:$N$104,C32)*IF(D32="บอส",ตั้งค่า!$C$33,1),0)</f>
        <v>568</v>
      </c>
      <c r="M32" s="25">
        <f>ROUND(INDEX(เลเวล!$O$5:$O$104,C32)*IF(D32="บอส",ตั้งค่า!$C$33,1),0)</f>
        <v>851</v>
      </c>
      <c r="N32" s="25">
        <f>ROUNDUP(H32/INDEX(เลเวล!$G$5:$G$104,C32),0)</f>
        <v>5</v>
      </c>
      <c r="O32" s="3" t="s">
        <v>181</v>
      </c>
    </row>
    <row r="33" spans="1:15">
      <c r="A33" s="3" t="s">
        <v>182</v>
      </c>
      <c r="B33" s="28" t="s">
        <v>178</v>
      </c>
      <c r="C33" s="28">
        <v>64</v>
      </c>
      <c r="D33" s="28" t="s">
        <v>119</v>
      </c>
      <c r="E33" s="28" t="s">
        <v>131</v>
      </c>
      <c r="F33" s="29">
        <v>0.9</v>
      </c>
      <c r="G33" s="29">
        <v>1.05</v>
      </c>
      <c r="H33" s="25">
        <f>ROUND(INDEX(เลเวล!$H$5:$H$104,C33)*F33*IF(D33="บอส",ตั้งค่า!$C$29,1),0)</f>
        <v>1643</v>
      </c>
      <c r="I33" s="25">
        <f>ROUND(INDEX(เลเวล!$F$5:$F$104,C33)*IF(D33="บอส",ตั้งค่า!$C$32,1),0)</f>
        <v>24</v>
      </c>
      <c r="J33" s="25">
        <f>ROUND(INDEX(เลเวล!$I$5:$I$104,C33)*IF(D33="บอส",ตั้งค่า!$C$31,1),0)</f>
        <v>155</v>
      </c>
      <c r="K33" s="25">
        <f>ROUND(INDEX(เลเวล!$M$5:$M$104,C33)*G33*IF(D33="บอส",ตั้งค่า!$C$30,1),0)</f>
        <v>1563</v>
      </c>
      <c r="L33" s="25">
        <f>ROUND(INDEX(เลเวล!$N$5:$N$104,C33)*IF(D33="บอส",ตั้งค่า!$C$33,1),0)</f>
        <v>596</v>
      </c>
      <c r="M33" s="25">
        <f>ROUND(INDEX(เลเวล!$O$5:$O$104,C33)*IF(D33="บอส",ตั้งค่า!$C$33,1),0)</f>
        <v>893</v>
      </c>
      <c r="N33" s="25">
        <f>ROUNDUP(H33/INDEX(เลเวล!$G$5:$G$104,C33),0)</f>
        <v>4</v>
      </c>
      <c r="O33" s="3" t="s">
        <v>183</v>
      </c>
    </row>
    <row r="34" spans="1:15">
      <c r="A34" s="3" t="s">
        <v>184</v>
      </c>
      <c r="B34" s="28" t="s">
        <v>178</v>
      </c>
      <c r="C34" s="28">
        <v>67</v>
      </c>
      <c r="D34" s="28" t="s">
        <v>119</v>
      </c>
      <c r="E34" s="28" t="s">
        <v>131</v>
      </c>
      <c r="F34" s="29">
        <v>1.5</v>
      </c>
      <c r="G34" s="29">
        <v>1.25</v>
      </c>
      <c r="H34" s="25">
        <f>ROUND(INDEX(เลเวล!$H$5:$H$104,C34)*F34*IF(D34="บอส",ตั้งค่า!$C$29,1),0)</f>
        <v>3030</v>
      </c>
      <c r="I34" s="25">
        <f>ROUND(INDEX(เลเวล!$F$5:$F$104,C34)*IF(D34="บอส",ตั้งค่า!$C$32,1),0)</f>
        <v>27</v>
      </c>
      <c r="J34" s="25">
        <f>ROUND(INDEX(เลเวล!$I$5:$I$104,C34)*IF(D34="บอส",ตั้งค่า!$C$31,1),0)</f>
        <v>169</v>
      </c>
      <c r="K34" s="25">
        <f>ROUND(INDEX(เลเวล!$M$5:$M$104,C34)*G34*IF(D34="บอส",ตั้งค่า!$C$30,1),0)</f>
        <v>1949</v>
      </c>
      <c r="L34" s="25">
        <f>ROUND(INDEX(เลเวล!$N$5:$N$104,C34)*IF(D34="บอส",ตั้งค่า!$C$33,1),0)</f>
        <v>624</v>
      </c>
      <c r="M34" s="25">
        <f>ROUND(INDEX(เลเวล!$O$5:$O$104,C34)*IF(D34="บอส",ตั้งค่า!$C$33,1),0)</f>
        <v>935</v>
      </c>
      <c r="N34" s="25">
        <f>ROUNDUP(H34/INDEX(เลเวล!$G$5:$G$104,C34),0)</f>
        <v>6</v>
      </c>
      <c r="O34" s="3" t="s">
        <v>185</v>
      </c>
    </row>
    <row r="35" spans="1:15">
      <c r="A35" s="3" t="s">
        <v>186</v>
      </c>
      <c r="B35" s="28" t="s">
        <v>178</v>
      </c>
      <c r="C35" s="28">
        <v>71</v>
      </c>
      <c r="D35" s="28" t="s">
        <v>119</v>
      </c>
      <c r="E35" s="28" t="s">
        <v>131</v>
      </c>
      <c r="F35" s="29">
        <v>1.2</v>
      </c>
      <c r="G35" s="29">
        <v>1.1499999999999999</v>
      </c>
      <c r="H35" s="25">
        <f>ROUND(INDEX(เลเวล!$H$5:$H$104,C35)*F35*IF(D35="บอส",ตั้งค่า!$C$29,1),0)</f>
        <v>2774</v>
      </c>
      <c r="I35" s="25">
        <f>ROUND(INDEX(เลเวล!$F$5:$F$104,C35)*IF(D35="บอส",ตั้งค่า!$C$32,1),0)</f>
        <v>30</v>
      </c>
      <c r="J35" s="25">
        <f>ROUND(INDEX(เลเวล!$I$5:$I$104,C35)*IF(D35="บอส",ตั้งค่า!$C$31,1),0)</f>
        <v>189</v>
      </c>
      <c r="K35" s="25">
        <f>ROUND(INDEX(เลเวล!$M$5:$M$104,C35)*G35*IF(D35="บอส",ตั้งค่า!$C$30,1),0)</f>
        <v>1901</v>
      </c>
      <c r="L35" s="25">
        <f>ROUND(INDEX(เลเวล!$N$5:$N$104,C35)*IF(D35="บอส",ตั้งค่า!$C$33,1),0)</f>
        <v>661</v>
      </c>
      <c r="M35" s="25">
        <f>ROUND(INDEX(เลเวล!$O$5:$O$104,C35)*IF(D35="บอส",ตั้งค่า!$C$33,1),0)</f>
        <v>992</v>
      </c>
      <c r="N35" s="25">
        <f>ROUNDUP(H35/INDEX(เลเวล!$G$5:$G$104,C35),0)</f>
        <v>5</v>
      </c>
      <c r="O35" s="3" t="s">
        <v>187</v>
      </c>
    </row>
    <row r="36" spans="1:15">
      <c r="A36" s="30" t="s">
        <v>188</v>
      </c>
      <c r="B36" s="31" t="s">
        <v>178</v>
      </c>
      <c r="C36" s="31">
        <v>75</v>
      </c>
      <c r="D36" s="31" t="s">
        <v>136</v>
      </c>
      <c r="E36" s="31" t="s">
        <v>131</v>
      </c>
      <c r="F36" s="29">
        <v>1</v>
      </c>
      <c r="G36" s="29">
        <v>1</v>
      </c>
      <c r="H36" s="25">
        <f>ROUND(INDEX(เลเวล!$H$5:$H$104,C36)*F36*IF(D36="บอส",ตั้งค่า!$C$29,1),0)</f>
        <v>105240</v>
      </c>
      <c r="I36" s="25">
        <f>ROUND(INDEX(เลเวล!$F$5:$F$104,C36)*IF(D36="บอส",ตั้งค่า!$C$32,1),0)</f>
        <v>70</v>
      </c>
      <c r="J36" s="25">
        <f>ROUND(INDEX(เลเวล!$I$5:$I$104,C36)*IF(D36="บอส",ตั้งค่า!$C$31,1),0)</f>
        <v>528</v>
      </c>
      <c r="K36" s="25">
        <f>ROUND(INDEX(เลเวล!$M$5:$M$104,C36)*G36*IF(D36="บอส",ตั้งค่า!$C$30,1),0)</f>
        <v>43650</v>
      </c>
      <c r="L36" s="25">
        <f>ROUND(INDEX(เลเวล!$N$5:$N$104,C36)*IF(D36="บอส",ตั้งค่า!$C$33,1),0)</f>
        <v>13960</v>
      </c>
      <c r="M36" s="25">
        <f>ROUND(INDEX(เลเวล!$O$5:$O$104,C36)*IF(D36="บอส",ตั้งค่า!$C$33,1),0)</f>
        <v>20960</v>
      </c>
      <c r="N36" s="25">
        <f>ROUNDUP(H36/INDEX(เลเวล!$G$5:$G$104,C36),0)</f>
        <v>161</v>
      </c>
      <c r="O36" s="3" t="s">
        <v>189</v>
      </c>
    </row>
    <row r="37" spans="1:15">
      <c r="A37" s="3" t="s">
        <v>190</v>
      </c>
      <c r="B37" s="28" t="s">
        <v>191</v>
      </c>
      <c r="C37" s="28">
        <v>80</v>
      </c>
      <c r="D37" s="28" t="s">
        <v>119</v>
      </c>
      <c r="E37" s="28" t="s">
        <v>131</v>
      </c>
      <c r="F37" s="29">
        <v>1.2</v>
      </c>
      <c r="G37" s="29">
        <v>1.1000000000000001</v>
      </c>
      <c r="H37" s="25">
        <f>ROUND(INDEX(เลเวล!$H$5:$H$104,C37)*F37*IF(D37="บอส",ตั้งค่า!$C$29,1),0)</f>
        <v>3703</v>
      </c>
      <c r="I37" s="25">
        <f>ROUND(INDEX(เลเวล!$F$5:$F$104,C37)*IF(D37="บอส",ตั้งค่า!$C$32,1),0)</f>
        <v>41</v>
      </c>
      <c r="J37" s="25">
        <f>ROUND(INDEX(เลเวล!$I$5:$I$104,C37)*IF(D37="บอส",ตั้งค่า!$C$31,1),0)</f>
        <v>240</v>
      </c>
      <c r="K37" s="25">
        <f>ROUND(INDEX(เลเวล!$M$5:$M$104,C37)*G37*IF(D37="บอส",ตั้งค่า!$C$30,1),0)</f>
        <v>2049</v>
      </c>
      <c r="L37" s="25">
        <f>ROUND(INDEX(เลเวล!$N$5:$N$104,C37)*IF(D37="บอส",ตั้งค่า!$C$33,1),0)</f>
        <v>745</v>
      </c>
      <c r="M37" s="25">
        <f>ROUND(INDEX(เลเวล!$O$5:$O$104,C37)*IF(D37="บอส",ตั้งค่า!$C$33,1),0)</f>
        <v>1118</v>
      </c>
      <c r="N37" s="25">
        <f>ROUNDUP(H37/INDEX(เลเวล!$G$5:$G$104,C37),0)</f>
        <v>5</v>
      </c>
      <c r="O37" s="3" t="s">
        <v>192</v>
      </c>
    </row>
    <row r="38" spans="1:15">
      <c r="A38" s="3" t="s">
        <v>193</v>
      </c>
      <c r="B38" s="28" t="s">
        <v>191</v>
      </c>
      <c r="C38" s="28">
        <v>84</v>
      </c>
      <c r="D38" s="28" t="s">
        <v>119</v>
      </c>
      <c r="E38" s="28" t="s">
        <v>131</v>
      </c>
      <c r="F38" s="29">
        <v>1.1000000000000001</v>
      </c>
      <c r="G38" s="29">
        <v>1.05</v>
      </c>
      <c r="H38" s="25">
        <f>ROUND(INDEX(เลเวล!$H$5:$H$104,C38)*F38*IF(D38="บอส",ตั้งค่า!$C$29,1),0)</f>
        <v>3850</v>
      </c>
      <c r="I38" s="25">
        <f>ROUND(INDEX(เลเวล!$F$5:$F$104,C38)*IF(D38="บอส",ตั้งค่า!$C$32,1),0)</f>
        <v>46</v>
      </c>
      <c r="J38" s="25">
        <f>ROUND(INDEX(เลเวล!$I$5:$I$104,C38)*IF(D38="บอส",ตั้งค่า!$C$31,1),0)</f>
        <v>267</v>
      </c>
      <c r="K38" s="25">
        <f>ROUND(INDEX(เลเวล!$M$5:$M$104,C38)*G38*IF(D38="บอส",ตั้งค่า!$C$30,1),0)</f>
        <v>2054</v>
      </c>
      <c r="L38" s="25">
        <f>ROUND(INDEX(เลเวล!$N$5:$N$104,C38)*IF(D38="บอส",ตั้งค่า!$C$33,1),0)</f>
        <v>782</v>
      </c>
      <c r="M38" s="25">
        <f>ROUND(INDEX(เลเวล!$O$5:$O$104,C38)*IF(D38="บอส",ตั้งค่า!$C$33,1),0)</f>
        <v>1174</v>
      </c>
      <c r="N38" s="25">
        <f>ROUNDUP(H38/INDEX(เลเวล!$G$5:$G$104,C38),0)</f>
        <v>5</v>
      </c>
      <c r="O38" s="3" t="s">
        <v>194</v>
      </c>
    </row>
    <row r="39" spans="1:15">
      <c r="A39" s="3" t="s">
        <v>195</v>
      </c>
      <c r="B39" s="28" t="s">
        <v>191</v>
      </c>
      <c r="C39" s="28">
        <v>88</v>
      </c>
      <c r="D39" s="28" t="s">
        <v>119</v>
      </c>
      <c r="E39" s="28" t="s">
        <v>131</v>
      </c>
      <c r="F39" s="29">
        <v>0.9</v>
      </c>
      <c r="G39" s="29">
        <v>1</v>
      </c>
      <c r="H39" s="25">
        <f>ROUND(INDEX(เลเวล!$H$5:$H$104,C39)*F39*IF(D39="บอส",ตั้งค่า!$C$29,1),0)</f>
        <v>3563</v>
      </c>
      <c r="I39" s="25">
        <f>ROUND(INDEX(เลเวล!$F$5:$F$104,C39)*IF(D39="บอส",ตั้งค่า!$C$32,1),0)</f>
        <v>52</v>
      </c>
      <c r="J39" s="25">
        <f>ROUND(INDEX(เลเวล!$I$5:$I$104,C39)*IF(D39="บอส",ตั้งค่า!$C$31,1),0)</f>
        <v>295</v>
      </c>
      <c r="K39" s="25">
        <f>ROUND(INDEX(เลเวล!$M$5:$M$104,C39)*G39*IF(D39="บอส",ตั้งค่า!$C$30,1),0)</f>
        <v>2050</v>
      </c>
      <c r="L39" s="25">
        <f>ROUND(INDEX(เลเวล!$N$5:$N$104,C39)*IF(D39="บอส",ตั้งค่า!$C$33,1),0)</f>
        <v>820</v>
      </c>
      <c r="M39" s="25">
        <f>ROUND(INDEX(เลเวล!$O$5:$O$104,C39)*IF(D39="บอส",ตั้งค่า!$C$33,1),0)</f>
        <v>1230</v>
      </c>
      <c r="N39" s="25">
        <f>ROUNDUP(H39/INDEX(เลเวล!$G$5:$G$104,C39),0)</f>
        <v>4</v>
      </c>
      <c r="O39" s="3" t="s">
        <v>196</v>
      </c>
    </row>
    <row r="40" spans="1:15">
      <c r="A40" s="3" t="s">
        <v>197</v>
      </c>
      <c r="B40" s="28" t="s">
        <v>191</v>
      </c>
      <c r="C40" s="28">
        <v>92</v>
      </c>
      <c r="D40" s="28" t="s">
        <v>119</v>
      </c>
      <c r="E40" s="28" t="s">
        <v>131</v>
      </c>
      <c r="F40" s="29">
        <v>1</v>
      </c>
      <c r="G40" s="29">
        <v>1.05</v>
      </c>
      <c r="H40" s="25">
        <f>ROUND(INDEX(เลเวล!$H$5:$H$104,C40)*F40*IF(D40="บอส",ตั้งค่า!$C$29,1),0)</f>
        <v>4468</v>
      </c>
      <c r="I40" s="25">
        <f>ROUND(INDEX(เลเวล!$F$5:$F$104,C40)*IF(D40="บอส",ตั้งค่า!$C$32,1),0)</f>
        <v>59</v>
      </c>
      <c r="J40" s="25">
        <f>ROUND(INDEX(เลเวล!$I$5:$I$104,C40)*IF(D40="บอส",ตั้งค่า!$C$31,1),0)</f>
        <v>326</v>
      </c>
      <c r="K40" s="25">
        <f>ROUND(INDEX(เลเวล!$M$5:$M$104,C40)*G40*IF(D40="บอส",ตั้งค่า!$C$30,1),0)</f>
        <v>2250</v>
      </c>
      <c r="L40" s="25">
        <f>ROUND(INDEX(เลเวล!$N$5:$N$104,C40)*IF(D40="บอส",ตั้งค่า!$C$33,1),0)</f>
        <v>857</v>
      </c>
      <c r="M40" s="25">
        <f>ROUND(INDEX(เลเวล!$O$5:$O$104,C40)*IF(D40="บอส",ตั้งค่า!$C$33,1),0)</f>
        <v>1286</v>
      </c>
      <c r="N40" s="25">
        <f>ROUNDUP(H40/INDEX(เลเวล!$G$5:$G$104,C40),0)</f>
        <v>4</v>
      </c>
      <c r="O40" s="3" t="s">
        <v>198</v>
      </c>
    </row>
    <row r="41" spans="1:15">
      <c r="A41" s="3" t="s">
        <v>199</v>
      </c>
      <c r="B41" s="28" t="s">
        <v>191</v>
      </c>
      <c r="C41" s="28">
        <v>96</v>
      </c>
      <c r="D41" s="28" t="s">
        <v>119</v>
      </c>
      <c r="E41" s="28" t="s">
        <v>131</v>
      </c>
      <c r="F41" s="29">
        <v>1.3</v>
      </c>
      <c r="G41" s="29">
        <v>1.2</v>
      </c>
      <c r="H41" s="25">
        <f>ROUND(INDEX(เลเวล!$H$5:$H$104,C41)*F41*IF(D41="บอส",ตั้งค่า!$C$29,1),0)</f>
        <v>6549</v>
      </c>
      <c r="I41" s="25">
        <f>ROUND(INDEX(เลเวล!$F$5:$F$104,C41)*IF(D41="บอส",ตั้งค่า!$C$32,1),0)</f>
        <v>66</v>
      </c>
      <c r="J41" s="25">
        <f>ROUND(INDEX(เลเวล!$I$5:$I$104,C41)*IF(D41="บอส",ตั้งค่า!$C$31,1),0)</f>
        <v>360</v>
      </c>
      <c r="K41" s="25">
        <f>ROUND(INDEX(เลเวล!$M$5:$M$104,C41)*G41*IF(D41="บอส",ตั้งค่า!$C$30,1),0)</f>
        <v>2683</v>
      </c>
      <c r="L41" s="25">
        <f>ROUND(INDEX(เลเวล!$N$5:$N$104,C41)*IF(D41="บอส",ตั้งค่า!$C$33,1),0)</f>
        <v>894</v>
      </c>
      <c r="M41" s="25">
        <f>ROUND(INDEX(เลเวล!$O$5:$O$104,C41)*IF(D41="บอส",ตั้งค่า!$C$33,1),0)</f>
        <v>1342</v>
      </c>
      <c r="N41" s="25">
        <f>ROUNDUP(H41/INDEX(เลเวล!$G$5:$G$104,C41),0)</f>
        <v>6</v>
      </c>
      <c r="O41" s="3"/>
    </row>
    <row r="42" spans="1:15">
      <c r="A42" s="30" t="s">
        <v>200</v>
      </c>
      <c r="B42" s="31" t="s">
        <v>191</v>
      </c>
      <c r="C42" s="31">
        <v>100</v>
      </c>
      <c r="D42" s="31" t="s">
        <v>136</v>
      </c>
      <c r="E42" s="31" t="s">
        <v>131</v>
      </c>
      <c r="F42" s="29">
        <v>1</v>
      </c>
      <c r="G42" s="29">
        <v>1</v>
      </c>
      <c r="H42" s="25">
        <f>ROUND(INDEX(เลเวล!$H$5:$H$104,C42)*F42*IF(D42="บอส",ตั้งค่า!$C$29,1),0)</f>
        <v>226640</v>
      </c>
      <c r="I42" s="25">
        <f>ROUND(INDEX(เลเวล!$F$5:$F$104,C42)*IF(D42="บอส",ตั้งค่า!$C$32,1),0)</f>
        <v>150</v>
      </c>
      <c r="J42" s="25">
        <f>ROUND(INDEX(เลเวล!$I$5:$I$104,C42)*IF(D42="บอส",ตั้งค่า!$C$31,1),0)</f>
        <v>993</v>
      </c>
      <c r="K42" s="25">
        <f>ROUND(INDEX(เลเวล!$M$5:$M$104,C42)*G42*IF(D42="บอส",ตั้งค่า!$C$30,1),0)</f>
        <v>58250</v>
      </c>
      <c r="L42" s="25">
        <f>ROUND(INDEX(เลเวล!$N$5:$N$104,C42)*IF(D42="บอส",ตั้งค่า!$C$33,1),0)</f>
        <v>18640</v>
      </c>
      <c r="M42" s="25">
        <f>ROUND(INDEX(เลเวล!$O$5:$O$104,C42)*IF(D42="บอส",ตั้งค่า!$C$33,1),0)</f>
        <v>27960</v>
      </c>
      <c r="N42" s="25">
        <f>ROUNDUP(H42/INDEX(เลเวล!$G$5:$G$104,C42),0)</f>
        <v>160</v>
      </c>
      <c r="O42" s="3" t="s">
        <v>201</v>
      </c>
    </row>
    <row r="43" spans="1:15">
      <c r="A43" s="30" t="s">
        <v>202</v>
      </c>
      <c r="B43" s="31" t="s">
        <v>118</v>
      </c>
      <c r="C43" s="31">
        <v>3</v>
      </c>
      <c r="D43" s="31" t="s">
        <v>119</v>
      </c>
      <c r="E43" s="31" t="s">
        <v>120</v>
      </c>
      <c r="F43" s="29">
        <v>1.3</v>
      </c>
      <c r="G43" s="29">
        <v>1.1499999999999999</v>
      </c>
      <c r="H43" s="25">
        <f>ROUND(INDEX(เลเวล!$H$5:$H$104,C43)*F43*IF(D43="บอส",ตั้งค่า!$C$29,1),0)</f>
        <v>81</v>
      </c>
      <c r="I43" s="25">
        <f>ROUND(INDEX(เลเวล!$F$5:$F$104,C43)*IF(D43="บอส",ตั้งค่า!$C$32,1),0)</f>
        <v>1</v>
      </c>
      <c r="J43" s="25">
        <f>ROUND(INDEX(เลเวล!$I$5:$I$104,C43)*IF(D43="บอส",ตั้งค่า!$C$31,1),0)</f>
        <v>10</v>
      </c>
      <c r="K43" s="25">
        <f>ROUND(INDEX(เลเวล!$M$5:$M$104,C43)*G43*IF(D43="บอส",ตั้งค่า!$C$30,1),0)</f>
        <v>43</v>
      </c>
      <c r="L43" s="25">
        <f>ROUND(INDEX(เลเวล!$N$5:$N$104,C43)*IF(D43="บอส",ตั้งค่า!$C$33,1),0)</f>
        <v>15</v>
      </c>
      <c r="M43" s="25">
        <f>ROUND(INDEX(เลเวล!$O$5:$O$104,C43)*IF(D43="บอส",ตั้งค่า!$C$33,1),0)</f>
        <v>22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คำอธิบาย</vt:lpstr>
      <vt:lpstr>ตั้งค่า</vt:lpstr>
      <vt:lpstr>เลเวล</vt:lpstr>
      <vt:lpstr>มอน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Kenny Parker</cp:lastModifiedBy>
  <cp:revision>1</cp:revision>
  <dcterms:created xsi:type="dcterms:W3CDTF">2026-09-29T11:40:36Z</dcterms:created>
  <dcterms:modified xsi:type="dcterms:W3CDTF">2026-09-29T14:05:15Z</dcterms:modified>
  <dc:language>en-US</dc:language>
</cp:coreProperties>
</file>