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คำอธิบาย" sheetId="1" state="visible" r:id="rId3"/>
    <sheet name="ตั้งค่า" sheetId="2" state="visible" r:id="rId4"/>
    <sheet name="เลเวล" sheetId="3" state="visible" r:id="rId5"/>
    <sheet name="มอน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FreeSans"/>
            <family val="2"/>
          </rPr>
          <t xml:space="preserve">ค่าพลังดึงจากชีต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FreeSans"/>
            <family val="2"/>
          </rPr>
          <t xml:space="preserve">เลเวล</t>
        </r>
        <r>
          <rPr>
            <sz val="10"/>
            <rFont val="Arial"/>
            <family val="2"/>
          </rPr>
          <t xml:space="preserve">' </t>
        </r>
        <r>
          <rPr>
            <sz val="10"/>
            <rFont val="FreeSans"/>
            <family val="2"/>
          </rPr>
          <t xml:space="preserve">ตามเลเวลของมอน แล้วคูณด้วยตัวคูณ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และตัวคูณบอสถ้าเป็นบอส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<sst xmlns="http://schemas.openxmlformats.org/spreadsheetml/2006/main" count="324" uniqueCount="202">
  <si>
    <t xml:space="preserve">Siam Legends Online — ตารางสมดุลเกม (มอน / เลเวล / EXP)</t>
  </si>
  <si>
    <t xml:space="preserve">วิธีใช้</t>
  </si>
  <si>
    <t xml:space="preserve">1. แก้เฉพาะช่องตัวอักษรสีน้ำเงินในชีต 'ตั้งค่า' และในชีต 'มอน' (เลเวล ประเภท นิสัย ตัวคูณ) ช่องพื้นเหลืองคือค่าสำคัญ</t>
  </si>
  <si>
    <t xml:space="preserve">2. ตัวเลขสีดำทั้งหมดเป็นสูตร จะคำนวณใหม่เองเมื่อแก้ค่าในชีต 'ตั้งค่า' ห้ามพิมพ์ทับ</t>
  </si>
  <si>
    <t xml:space="preserve">3. ดูผลลัพธ์ที่ท้ายชีต 'ตั้งค่า' (เวลาเล่นถึงเลเวล 10 / 20 / 30 / 50 / สูงสุด) แล้วปรับจนพอใจ</t>
  </si>
  <si>
    <t xml:space="preserve">4. เพิ่มมอนใหม่: คัดลอกแถวในชีต 'มอน' แล้วแก้ชื่อ แมพ เลเวล — ค่าพลังจะคำนวณให้เอง</t>
  </si>
  <si>
    <t xml:space="preserve">หลักการคำนวณ</t>
  </si>
  <si>
    <t xml:space="preserve">• มอนเลเวล L ถูกออกแบบให้ผู้เล่นเลเวล L (ยังไม่รวมสกิล) ตีจำนวน 'ตีกี่ทีตาย' ครั้ง</t>
  </si>
  <si>
    <t xml:space="preserve">• เวลาเป้าหมายต่อเลเวล = a × เลเวล^k + เวลาขั้นต่ำ โดย a ถูกคำนวณให้เวลารวมถึงเลเวลสูงสุดเท่ากับ 'ชั่วโมงเล่นถึงเลเวลสูงสุด'</t>
  </si>
  <si>
    <t xml:space="preserve">• EXP มอน = EXP ที่ต้องใช้ ÷ จำนวนตัวที่ควรฆ่าในเวลาเป้าหมาย</t>
  </si>
  <si>
    <t xml:space="preserve">• 'เวลาจริง' ใช้ EXP มอนที่ปัดเศษแล้ว จึงอาจต่างจากเป้าหมายเล็กน้อย</t>
  </si>
  <si>
    <t xml:space="preserve">• เวลาต่อการฆ่า = ตีกี่ทีตาย × ความเร็วโจมตี + เวลาเดินหาเป้าหมาย (ประเมินแบบเล่นคนเดียว ตีมอนเลเวลเท่ากัน)</t>
  </si>
  <si>
    <t xml:space="preserve">ข้อจำกัด</t>
  </si>
  <si>
    <t xml:space="preserve">• ตารางมีเลเวล 1–100 ถ้าตั้งเลเวลสูงสุดเกิน 100 ต้องต่อแถวในชีต 'เลเวล' และแก้ช่วงในสูตร</t>
  </si>
  <si>
    <t xml:space="preserve">• ยังไม่รวมสกิล อาวุธพิเศษ ปาร์ตี้ หรือโบนัส EXP ช่วงปลายเกมจึงต้องฆ่าหลายพันตัวต่อเลเวล — ของเหล่านี้จะช่วยลดเวลาจริงลง</t>
  </si>
  <si>
    <t xml:space="preserve">• ชื่อมอนและแมพเป็นร่างแรก แก้ได้ตามใจ</t>
  </si>
  <si>
    <t xml:space="preserve">ตั้งค่าเป้าหมายและตัวเลขพื้นฐาน</t>
  </si>
  <si>
    <t xml:space="preserve">แก้เฉพาะช่องสีน้ำเงิน · พื้นเหลือง = ค่าสำคัญที่ควรลองปรับก่อน</t>
  </si>
  <si>
    <t xml:space="preserve">ค่า</t>
  </si>
  <si>
    <t xml:space="preserve">ตัวเลข</t>
  </si>
  <si>
    <t xml:space="preserve">หน่วย</t>
  </si>
  <si>
    <t xml:space="preserve">คำอธิบาย</t>
  </si>
  <si>
    <t xml:space="preserve">เป้าหมายเวลาเล่น</t>
  </si>
  <si>
    <t xml:space="preserve">เลเวลสูงสุด</t>
  </si>
  <si>
    <t xml:space="preserve">เลเวล</t>
  </si>
  <si>
    <t xml:space="preserve">ตารางรองรับถึง 100</t>
  </si>
  <si>
    <t xml:space="preserve">ชั่วโมงเล่นถึงเลเวลสูงสุด</t>
  </si>
  <si>
    <t xml:space="preserve">ชั่วโมง</t>
  </si>
  <si>
    <t xml:space="preserve">เล่นคนเดียว ไม่รวมสกิล/ปาร์ตี้/โบนัส</t>
  </si>
  <si>
    <t xml:space="preserve">ความชันเส้นเวลา (k)</t>
  </si>
  <si>
    <t xml:space="preserve">ยิ่งมาก = ช่วงต้นเร็ว ช่วงปลายช้า</t>
  </si>
  <si>
    <t xml:space="preserve">เวลาขั้นต่ำต่อเลเวล</t>
  </si>
  <si>
    <t xml:space="preserve">นาที</t>
  </si>
  <si>
    <t xml:space="preserve">ทำให้เลเวลแรก ๆ ไม่เร็วเกินไป</t>
  </si>
  <si>
    <t xml:space="preserve">ค่า a (ตัวช่วยคำนวณ)</t>
  </si>
  <si>
    <t xml:space="preserve">ห้ามแก้ — ปรับให้เวลารวมตรงเป้า</t>
  </si>
  <si>
    <t xml:space="preserve">ผู้เล่น (ค่าพื้นฐาน ยังไม่รวมสกิล)</t>
  </si>
  <si>
    <t xml:space="preserve">พลังโจมตีตั้งต้น</t>
  </si>
  <si>
    <t xml:space="preserve">ตรงกับเกมตอนนี้: 10 + 2 × เลเวล</t>
  </si>
  <si>
    <t xml:space="preserve">พลังโจมตีเพิ่มต่อเลเวล</t>
  </si>
  <si>
    <t xml:space="preserve">อุปกรณ์เพิ่มพลังโจมตีต่อเลเวล</t>
  </si>
  <si>
    <t xml:space="preserve">สะท้อนว่าผู้เล่นได้อาวุธดีขึ้นเรื่อย ๆ</t>
  </si>
  <si>
    <t xml:space="preserve">HP ตั้งต้น</t>
  </si>
  <si>
    <t xml:space="preserve">ตรงกับเกมตอนนี้: 90 + 10 × เลเวล</t>
  </si>
  <si>
    <t xml:space="preserve">HP เพิ่มต่อเลเวล</t>
  </si>
  <si>
    <t xml:space="preserve">อุปกรณ์เพิ่ม HP ต่อเลเวล</t>
  </si>
  <si>
    <t xml:space="preserve">ความเร็วโจมตี</t>
  </si>
  <si>
    <t xml:space="preserve">วินาที/ที</t>
  </si>
  <si>
    <t xml:space="preserve">ตรงกับ PLAYER_ASPD_MS ในเกม</t>
  </si>
  <si>
    <t xml:space="preserve">มอนปกติ (เทียบกับผู้เล่นเลเวลเท่ากัน)</t>
  </si>
  <si>
    <t xml:space="preserve">ตีกี่ทีตาย</t>
  </si>
  <si>
    <t xml:space="preserve">ที</t>
  </si>
  <si>
    <t xml:space="preserve">ความรู้สึกหลักของการตีมอน</t>
  </si>
  <si>
    <t xml:space="preserve">เวลาเดินหาเป้าหมายต่อตัว</t>
  </si>
  <si>
    <t xml:space="preserve">วินาที</t>
  </si>
  <si>
    <t xml:space="preserve">รวมเวลาเดินและรอมอนเกิด</t>
  </si>
  <si>
    <t xml:space="preserve">พลังป้องกันมอน</t>
  </si>
  <si>
    <t xml:space="preserve">ของพลังโจมตีผู้เล่น</t>
  </si>
  <si>
    <t xml:space="preserve">มอนตีกี่ทีผู้เล่นตาย</t>
  </si>
  <si>
    <t xml:space="preserve">ใช้เมื่อเปิดระบบมอนตีกลับ</t>
  </si>
  <si>
    <t xml:space="preserve">EXP ที่ต้องใช้: ค่าตั้งต้น</t>
  </si>
  <si>
    <t xml:space="preserve">EXP ขึ้นเลเวล = ค่าตั้งต้น × เลเวล^เลขชี้กำลัง</t>
  </si>
  <si>
    <t xml:space="preserve">EXP ที่ต้องใช้: เลขชี้กำลัง</t>
  </si>
  <si>
    <t xml:space="preserve">ยิ่งมาก EXP ต่อมอนช่วงปลายยิ่งสูง</t>
  </si>
  <si>
    <t xml:space="preserve">เบี้ยต่อ EXP</t>
  </si>
  <si>
    <t xml:space="preserve">เบี้ย</t>
  </si>
  <si>
    <t xml:space="preserve">เงินในเกม (ตั้งชื่อชั่วคราวว่า เบี้ย)</t>
  </si>
  <si>
    <t xml:space="preserve">เบี้ยสุ่ม ±</t>
  </si>
  <si>
    <t xml:space="preserve">บอส (ตัวคูณจากมอนปกติเลเวลเดียวกัน)</t>
  </si>
  <si>
    <t xml:space="preserve">ตัวคูณ HP</t>
  </si>
  <si>
    <t xml:space="preserve">เท่า</t>
  </si>
  <si>
    <t xml:space="preserve">ตั้งใจให้ต้องใช้ปาร์ตี้หรือยา</t>
  </si>
  <si>
    <t xml:space="preserve">ตัวคูณ EXP</t>
  </si>
  <si>
    <t xml:space="preserve">ตัวคูณพลังโจมตี</t>
  </si>
  <si>
    <t xml:space="preserve">ตัวคูณพลังป้องกัน</t>
  </si>
  <si>
    <t xml:space="preserve">ตัวคูณเบี้ย</t>
  </si>
  <si>
    <t xml:space="preserve">ผลลัพธ์ (คำนวณอัตโนมัติ)</t>
  </si>
  <si>
    <t xml:space="preserve">เวลาถึงเลเวล 10</t>
  </si>
  <si>
    <t xml:space="preserve">เวลาถึงเลเวล 20</t>
  </si>
  <si>
    <t xml:space="preserve">เวลาถึงเลเวล 30</t>
  </si>
  <si>
    <t xml:space="preserve">เวลาถึงเลเวล 50</t>
  </si>
  <si>
    <t xml:space="preserve">เวลาถึงเลเวลสูงสุด</t>
  </si>
  <si>
    <t xml:space="preserve">ถ้าเล่นวันละ 2 ชั่วโมง</t>
  </si>
  <si>
    <t xml:space="preserve">วัน</t>
  </si>
  <si>
    <t xml:space="preserve">ฆ่ามอนต่อเลเวล (เลเวล 1)</t>
  </si>
  <si>
    <t xml:space="preserve">ตัว</t>
  </si>
  <si>
    <t xml:space="preserve">ฆ่ามอนต่อเลเวล (เลเวล 50)</t>
  </si>
  <si>
    <t xml:space="preserve">ตารางเลเวล และค่าพลังมอนปกติแต่ละระดับ</t>
  </si>
  <si>
    <t xml:space="preserve">สูตรทั้งหมด — แก้ค่าที่ชีต 'ตั้งค่า' แทน · แถวที่เกินเลเวลสูงสุดไม่นับในเวลารวม</t>
  </si>
  <si>
    <t xml:space="preserve">EXP ขึ้นเลเวลถัดไป</t>
  </si>
  <si>
    <t xml:space="preserve">EXP สะสม</t>
  </si>
  <si>
    <t xml:space="preserve">พลังโจมตีผู้เล่น</t>
  </si>
  <si>
    <t xml:space="preserve">HP ผู้เล่น</t>
  </si>
  <si>
    <t xml:space="preserve">DEF มอน</t>
  </si>
  <si>
    <t xml:space="preserve">ดาเมจต่อที</t>
  </si>
  <si>
    <t xml:space="preserve">HP มอน</t>
  </si>
  <si>
    <t xml:space="preserve">ATK มอน</t>
  </si>
  <si>
    <t xml:space="preserve">วินาทีต่อการฆ่า</t>
  </si>
  <si>
    <t xml:space="preserve">เป้าหมาย (นาที)</t>
  </si>
  <si>
    <t xml:space="preserve">ฆ่าเป้าหมาย</t>
  </si>
  <si>
    <t xml:space="preserve">EXP มอน</t>
  </si>
  <si>
    <t xml:space="preserve">เบี้ยต่ำสุด</t>
  </si>
  <si>
    <t xml:space="preserve">เบี้ยสูงสุด</t>
  </si>
  <si>
    <t xml:space="preserve">ต้องฆ่าจริง</t>
  </si>
  <si>
    <t xml:space="preserve">เวลาจริง (นาที)</t>
  </si>
  <si>
    <t xml:space="preserve">ชั่วโมงสะสมถึงเลเวลนี้</t>
  </si>
  <si>
    <t xml:space="preserve">มอนสเตอร์ (ร่างแรก — ชื่อ แมพ เลเวล แก้ได้)</t>
  </si>
  <si>
    <t xml:space="preserve">สีน้ำเงิน = แก้ได้ · ตัวคูณ HP/EXP ใช้ทำมอนถึกหรือมอนเปราะในเลเวลเดียวกัน · ประเภทพิมพ์ 'ปกติ' หรือ 'บอส'</t>
  </si>
  <si>
    <t xml:space="preserve">ชื่อ</t>
  </si>
  <si>
    <t xml:space="preserve">แมพ</t>
  </si>
  <si>
    <t xml:space="preserve">ประเภท</t>
  </si>
  <si>
    <t xml:space="preserve">นิสัย</t>
  </si>
  <si>
    <t xml:space="preserve">HP</t>
  </si>
  <si>
    <t xml:space="preserve">DEF</t>
  </si>
  <si>
    <t xml:space="preserve">ATK</t>
  </si>
  <si>
    <t xml:space="preserve">EXP</t>
  </si>
  <si>
    <t xml:space="preserve">ลักษณะ</t>
  </si>
  <si>
    <t xml:space="preserve">ข้าวเหนียวปั้น</t>
  </si>
  <si>
    <t xml:space="preserve">ทุ่งนาริมคลอง</t>
  </si>
  <si>
    <t xml:space="preserve">ปกติ</t>
  </si>
  <si>
    <t xml:space="preserve">ไม่ตีก่อน</t>
  </si>
  <si>
    <t xml:space="preserve">ก้อนข้าวเหนียวมีตา กระโดดดึ๋ง ๆ มอนตัวแรกของเกม</t>
  </si>
  <si>
    <t xml:space="preserve">หิ่งห้อยนา</t>
  </si>
  <si>
    <t xml:space="preserve">บินหลบไปมา ตัวเปราะ</t>
  </si>
  <si>
    <t xml:space="preserve">ปูนา</t>
  </si>
  <si>
    <t xml:space="preserve">กระดองแข็ง ถึกกว่าปกติ</t>
  </si>
  <si>
    <t xml:space="preserve">หอยเชอรี่</t>
  </si>
  <si>
    <t xml:space="preserve">ช้าแต่ถึก</t>
  </si>
  <si>
    <t xml:space="preserve">กบเขียว</t>
  </si>
  <si>
    <t xml:space="preserve">กระโดดไกล</t>
  </si>
  <si>
    <t xml:space="preserve">ควายน้อยขี้หงุดหงิด</t>
  </si>
  <si>
    <t xml:space="preserve">ตีก่อน</t>
  </si>
  <si>
    <t xml:space="preserve">พุ่งชนเมื่อเข้าใกล้</t>
  </si>
  <si>
    <t xml:space="preserve">หุ่นไล่กาเดินได้</t>
  </si>
  <si>
    <t xml:space="preserve">ฟาดด้วยไม้ไผ่</t>
  </si>
  <si>
    <t xml:space="preserve">หุ่นไล่กายักษ์</t>
  </si>
  <si>
    <t xml:space="preserve">บอส</t>
  </si>
  <si>
    <t xml:space="preserve">บอสแรก เกิดทุก 30 นาที</t>
  </si>
  <si>
    <t xml:space="preserve">ลิงแสมซน</t>
  </si>
  <si>
    <t xml:space="preserve">ป่าไผ่ริมบึง</t>
  </si>
  <si>
    <t xml:space="preserve">ขโมยของแล้ววิ่งหนี</t>
  </si>
  <si>
    <t xml:space="preserve">ตะขาบไฟ</t>
  </si>
  <si>
    <t xml:space="preserve">พิษไฟ</t>
  </si>
  <si>
    <t xml:space="preserve">เห็ดโคนเดินได้</t>
  </si>
  <si>
    <t xml:space="preserve">ปล่อยสปอร์</t>
  </si>
  <si>
    <t xml:space="preserve">ผีพรายน้ำ</t>
  </si>
  <si>
    <t xml:space="preserve">โผล่จากน้ำ</t>
  </si>
  <si>
    <t xml:space="preserve">จระเข้บึง</t>
  </si>
  <si>
    <t xml:space="preserve">กัดแรง ถึก</t>
  </si>
  <si>
    <t xml:space="preserve">ชาละวัน</t>
  </si>
  <si>
    <t xml:space="preserve">พญาจระเข้ในตำนาน</t>
  </si>
  <si>
    <t xml:space="preserve">ทหารดินเผา</t>
  </si>
  <si>
    <t xml:space="preserve">เมืองโบราณร้าง</t>
  </si>
  <si>
    <t xml:space="preserve">ซากทหารโบราณ</t>
  </si>
  <si>
    <t xml:space="preserve">ค้างคาวแม่ไก่</t>
  </si>
  <si>
    <t xml:space="preserve">บินเร็ว</t>
  </si>
  <si>
    <t xml:space="preserve">ผีโขมด</t>
  </si>
  <si>
    <t xml:space="preserve">ดวงไฟผีลอยได้</t>
  </si>
  <si>
    <t xml:space="preserve">วิญญาณทหารเก่า</t>
  </si>
  <si>
    <t xml:space="preserve">ถือดาบสนิม</t>
  </si>
  <si>
    <t xml:space="preserve">ปีศาจหินเฝ้าซาก</t>
  </si>
  <si>
    <t xml:space="preserve">ช้ามาก ถึกมาก</t>
  </si>
  <si>
    <t xml:space="preserve">ขุนศึกไร้หัว</t>
  </si>
  <si>
    <t xml:space="preserve">บอสเมืองร้าง</t>
  </si>
  <si>
    <t xml:space="preserve">เสือสมิง</t>
  </si>
  <si>
    <t xml:space="preserve">ป่าหิมพานต์ชายขอบ</t>
  </si>
  <si>
    <t xml:space="preserve">เสือแปลงกาย</t>
  </si>
  <si>
    <t xml:space="preserve">ผีกระสือ</t>
  </si>
  <si>
    <t xml:space="preserve">ลอยได้ หลบเก่ง</t>
  </si>
  <si>
    <t xml:space="preserve">กระหัง</t>
  </si>
  <si>
    <t xml:space="preserve">บินด้วยกระด้ง</t>
  </si>
  <si>
    <t xml:space="preserve">ผีปอบ</t>
  </si>
  <si>
    <t xml:space="preserve">ดูดพลังชีวิต</t>
  </si>
  <si>
    <t xml:space="preserve">คชสีห์ป่า</t>
  </si>
  <si>
    <t xml:space="preserve">ถึก พุ่งชน</t>
  </si>
  <si>
    <t xml:space="preserve">ราชสีห์ทองคำ</t>
  </si>
  <si>
    <t xml:space="preserve">เจ้าป่าหิมพานต์ชายขอบ</t>
  </si>
  <si>
    <t xml:space="preserve">งูเหลือมยักษ์</t>
  </si>
  <si>
    <t xml:space="preserve">ถ้ำน้ำลอด</t>
  </si>
  <si>
    <t xml:space="preserve">รัดติดที่</t>
  </si>
  <si>
    <t xml:space="preserve">แมงป่องหิน</t>
  </si>
  <si>
    <t xml:space="preserve">พิษ</t>
  </si>
  <si>
    <t xml:space="preserve">ผีตายพราย</t>
  </si>
  <si>
    <t xml:space="preserve">สาปให้ช้าลง</t>
  </si>
  <si>
    <t xml:space="preserve">ปูถ้ำยักษ์</t>
  </si>
  <si>
    <t xml:space="preserve">กระดองหนามาก</t>
  </si>
  <si>
    <t xml:space="preserve">มกรดำ</t>
  </si>
  <si>
    <t xml:space="preserve">สัตว์น้ำในตำนาน</t>
  </si>
  <si>
    <t xml:space="preserve">มกรราชา</t>
  </si>
  <si>
    <t xml:space="preserve">บอสถ้ำ</t>
  </si>
  <si>
    <t xml:space="preserve">เหรา</t>
  </si>
  <si>
    <t xml:space="preserve">หิมพานต์ชั้นใน</t>
  </si>
  <si>
    <t xml:space="preserve">ครึ่งจระเข้ครึ่งงู</t>
  </si>
  <si>
    <t xml:space="preserve">ทักทอ</t>
  </si>
  <si>
    <t xml:space="preserve">สัตว์หิมพานต์</t>
  </si>
  <si>
    <t xml:space="preserve">อสุรปักษา</t>
  </si>
  <si>
    <t xml:space="preserve">นกอสูร บินโฉบ</t>
  </si>
  <si>
    <t xml:space="preserve">พญาเหยี่ยวเพลิง</t>
  </si>
  <si>
    <t xml:space="preserve">พ่นไฟ</t>
  </si>
  <si>
    <t xml:space="preserve">วิญญาณอสูรโบราณ</t>
  </si>
  <si>
    <t xml:space="preserve">จอมอสูรหิมพานต์</t>
  </si>
  <si>
    <t xml:space="preserve">บอสสุดท้าย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</si>
</sst>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"/>
    <numFmt numFmtId="167" formatCode="0.0000"/>
    <numFmt numFmtId="168" formatCode="0.0%"/>
    <numFmt numFmtId="169" formatCode="0%"/>
    <numFmt numFmtId="170" formatCode="0"/>
    <numFmt numFmtId="171" formatCode="#,##0"/>
    <numFmt numFmtId="172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theme="1"/>
      <name val="FreeSans"/>
      <family val="2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b val="true"/>
      <sz val="10"/>
      <color rgb="FF000000"/>
      <name val="FreeSans"/>
      <family val="2"/>
    </font>
    <font>
      <b val="true"/>
      <sz val="11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A1A05"/>
        <bgColor rgb="FF333333"/>
      </patternFill>
    </fill>
    <fill>
      <patternFill patternType="solid">
        <fgColor rgb="FFF3E2B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8F1E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E8F1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2B3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1A05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ชั่วโมงเล่นสะสมถึงแต่ละเลเวล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เลเวล!R4</c:f>
              <c:strCache>
                <c:ptCount val="1"/>
                <c:pt idx="0">
                  <c:v>ชั่วโมงสะสมถึงเลเวลนี้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เลเวล!$A$5:$A$104</c:f>
              <c:strCach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strCache>
            </c:strRef>
          </c:cat>
          <c:val>
            <c:numRef>
              <c:f>เลเวล!$R$5:$R$104</c:f>
              <c:numCache>
                <c:formatCode>#,##0.0</c:formatCode>
                <c:ptCount val="100"/>
                <c:pt idx="0">
                  <c:v>0</c:v>
                </c:pt>
                <c:pt idx="1">
                  <c:v>0.00944444444444445</c:v>
                </c:pt>
                <c:pt idx="2">
                  <c:v>0.0245555555555556</c:v>
                </c:pt>
                <c:pt idx="3">
                  <c:v>0.0453333333333333</c:v>
                </c:pt>
                <c:pt idx="4">
                  <c:v>0.0755555555555555</c:v>
                </c:pt>
                <c:pt idx="5">
                  <c:v>0.117111111111111</c:v>
                </c:pt>
                <c:pt idx="6">
                  <c:v>0.171888888888889</c:v>
                </c:pt>
                <c:pt idx="7">
                  <c:v>0.241777777777778</c:v>
                </c:pt>
                <c:pt idx="8">
                  <c:v>0.330555555555556</c:v>
                </c:pt>
                <c:pt idx="9">
                  <c:v>0.440111111111111</c:v>
                </c:pt>
                <c:pt idx="10">
                  <c:v>0.572333333333333</c:v>
                </c:pt>
                <c:pt idx="11">
                  <c:v>0.731</c:v>
                </c:pt>
                <c:pt idx="12">
                  <c:v>0.916111111111111</c:v>
                </c:pt>
                <c:pt idx="13">
                  <c:v>1.13333333333333</c:v>
                </c:pt>
                <c:pt idx="14">
                  <c:v>1.38266666666667</c:v>
                </c:pt>
                <c:pt idx="15">
                  <c:v>1.66788888888889</c:v>
                </c:pt>
                <c:pt idx="16">
                  <c:v>1.99088888888889</c:v>
                </c:pt>
                <c:pt idx="17">
                  <c:v>2.35355555555556</c:v>
                </c:pt>
                <c:pt idx="18">
                  <c:v>2.75777777777778</c:v>
                </c:pt>
                <c:pt idx="19">
                  <c:v>3.20733333333333</c:v>
                </c:pt>
                <c:pt idx="20">
                  <c:v>3.70411111111111</c:v>
                </c:pt>
                <c:pt idx="21">
                  <c:v>4.25</c:v>
                </c:pt>
                <c:pt idx="22">
                  <c:v>4.84877777777778</c:v>
                </c:pt>
                <c:pt idx="23">
                  <c:v>5.50233333333333</c:v>
                </c:pt>
                <c:pt idx="24">
                  <c:v>6.21255555555555</c:v>
                </c:pt>
                <c:pt idx="25">
                  <c:v>6.98322222222222</c:v>
                </c:pt>
                <c:pt idx="26">
                  <c:v>7.81622222222222</c:v>
                </c:pt>
                <c:pt idx="27">
                  <c:v>8.71155555555556</c:v>
                </c:pt>
                <c:pt idx="28">
                  <c:v>9.67488888888889</c:v>
                </c:pt>
                <c:pt idx="29">
                  <c:v>10.7081111111111</c:v>
                </c:pt>
                <c:pt idx="30">
                  <c:v>11.8131111111111</c:v>
                </c:pt>
                <c:pt idx="31">
                  <c:v>12.9917777777778</c:v>
                </c:pt>
                <c:pt idx="32">
                  <c:v>14.2478888888889</c:v>
                </c:pt>
                <c:pt idx="33">
                  <c:v>15.5814444444444</c:v>
                </c:pt>
                <c:pt idx="34">
                  <c:v>16.9981111111111</c:v>
                </c:pt>
                <c:pt idx="35">
                  <c:v>18.4978888888889</c:v>
                </c:pt>
                <c:pt idx="36">
                  <c:v>20.0845555555556</c:v>
                </c:pt>
                <c:pt idx="37">
                  <c:v>21.7581111111111</c:v>
                </c:pt>
                <c:pt idx="38">
                  <c:v>23.5242222222222</c:v>
                </c:pt>
                <c:pt idx="39">
                  <c:v>25.3847777777778</c:v>
                </c:pt>
                <c:pt idx="40">
                  <c:v>27.3397777777778</c:v>
                </c:pt>
                <c:pt idx="41">
                  <c:v>29.3948888888889</c:v>
                </c:pt>
                <c:pt idx="42">
                  <c:v>31.5482222222222</c:v>
                </c:pt>
                <c:pt idx="43">
                  <c:v>33.8054444444444</c:v>
                </c:pt>
                <c:pt idx="44">
                  <c:v>36.1684444444444</c:v>
                </c:pt>
                <c:pt idx="45">
                  <c:v>38.641</c:v>
                </c:pt>
                <c:pt idx="46">
                  <c:v>41.225</c:v>
                </c:pt>
                <c:pt idx="47">
                  <c:v>43.9204444444445</c:v>
                </c:pt>
                <c:pt idx="48">
                  <c:v>46.7311111111111</c:v>
                </c:pt>
                <c:pt idx="49">
                  <c:v>49.6588888888889</c:v>
                </c:pt>
                <c:pt idx="50">
                  <c:v>52.7075555555556</c:v>
                </c:pt>
                <c:pt idx="51">
                  <c:v>55.8808888888889</c:v>
                </c:pt>
                <c:pt idx="52">
                  <c:v>59.177</c:v>
                </c:pt>
                <c:pt idx="53">
                  <c:v>62.6015555555556</c:v>
                </c:pt>
                <c:pt idx="54">
                  <c:v>66.1545555555556</c:v>
                </c:pt>
                <c:pt idx="55">
                  <c:v>69.8416666666667</c:v>
                </c:pt>
                <c:pt idx="56">
                  <c:v>73.6647777777778</c:v>
                </c:pt>
                <c:pt idx="57">
                  <c:v>77.622</c:v>
                </c:pt>
                <c:pt idx="58">
                  <c:v>81.7208888888889</c:v>
                </c:pt>
                <c:pt idx="59">
                  <c:v>85.9633333333334</c:v>
                </c:pt>
                <c:pt idx="60">
                  <c:v>90.3474444444445</c:v>
                </c:pt>
                <c:pt idx="61">
                  <c:v>94.8807777777778</c:v>
                </c:pt>
                <c:pt idx="62">
                  <c:v>99.5652222222222</c:v>
                </c:pt>
                <c:pt idx="63">
                  <c:v>104.398888888889</c:v>
                </c:pt>
                <c:pt idx="64">
                  <c:v>109.387444444444</c:v>
                </c:pt>
                <c:pt idx="65">
                  <c:v>114.530888888889</c:v>
                </c:pt>
                <c:pt idx="66">
                  <c:v>119.834888888889</c:v>
                </c:pt>
                <c:pt idx="67">
                  <c:v>125.301333333333</c:v>
                </c:pt>
                <c:pt idx="68">
                  <c:v>130.930222222222</c:v>
                </c:pt>
                <c:pt idx="69">
                  <c:v>136.727222222222</c:v>
                </c:pt>
                <c:pt idx="70">
                  <c:v>142.694222222222</c:v>
                </c:pt>
                <c:pt idx="71">
                  <c:v>148.829333333333</c:v>
                </c:pt>
                <c:pt idx="72">
                  <c:v>155.140111111111</c:v>
                </c:pt>
                <c:pt idx="73">
                  <c:v>161.628444444444</c:v>
                </c:pt>
                <c:pt idx="74">
                  <c:v>168.292444444444</c:v>
                </c:pt>
                <c:pt idx="75">
                  <c:v>175.139666666667</c:v>
                </c:pt>
                <c:pt idx="76">
                  <c:v>182.172</c:v>
                </c:pt>
                <c:pt idx="77">
                  <c:v>189.387555555556</c:v>
                </c:pt>
                <c:pt idx="78">
                  <c:v>196.792</c:v>
                </c:pt>
                <c:pt idx="79">
                  <c:v>204.385333333333</c:v>
                </c:pt>
                <c:pt idx="80">
                  <c:v>212.173222222222</c:v>
                </c:pt>
                <c:pt idx="81">
                  <c:v>220.157555555556</c:v>
                </c:pt>
                <c:pt idx="82">
                  <c:v>228.338333333333</c:v>
                </c:pt>
                <c:pt idx="83">
                  <c:v>236.721222222222</c:v>
                </c:pt>
                <c:pt idx="84">
                  <c:v>245.308111111111</c:v>
                </c:pt>
                <c:pt idx="85">
                  <c:v>254.097111111111</c:v>
                </c:pt>
                <c:pt idx="86">
                  <c:v>263.095777777778</c:v>
                </c:pt>
                <c:pt idx="87">
                  <c:v>272.306</c:v>
                </c:pt>
                <c:pt idx="88">
                  <c:v>281.725888888889</c:v>
                </c:pt>
                <c:pt idx="89">
                  <c:v>291.363</c:v>
                </c:pt>
                <c:pt idx="90">
                  <c:v>301.219222222222</c:v>
                </c:pt>
                <c:pt idx="91">
                  <c:v>311.290777777778</c:v>
                </c:pt>
                <c:pt idx="92">
                  <c:v>321.587111111111</c:v>
                </c:pt>
                <c:pt idx="93">
                  <c:v>332.110111111111</c:v>
                </c:pt>
                <c:pt idx="94">
                  <c:v>342.856</c:v>
                </c:pt>
                <c:pt idx="95">
                  <c:v>353.834222222222</c:v>
                </c:pt>
                <c:pt idx="96">
                  <c:v>365.046666666667</c:v>
                </c:pt>
                <c:pt idx="97">
                  <c:v>376.489555555556</c:v>
                </c:pt>
                <c:pt idx="98">
                  <c:v>388.170444444444</c:v>
                </c:pt>
                <c:pt idx="99">
                  <c:v>400.093111111111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060714"/>
        <c:axId val="5183876"/>
      </c:lineChart>
      <c:catAx>
        <c:axId val="38060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เลเวล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83876"/>
        <c:crosses val="autoZero"/>
        <c:auto val="1"/>
        <c:lblAlgn val="ctr"/>
        <c:lblOffset val="100"/>
        <c:noMultiLvlLbl val="0"/>
      </c:catAx>
      <c:valAx>
        <c:axId val="5183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ชั่วโมง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607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3</xdr:row>
      <xdr:rowOff>398880</xdr:rowOff>
    </xdr:from>
    <xdr:to>
      <xdr:col>29</xdr:col>
      <xdr:colOff>364680</xdr:colOff>
      <xdr:row>20</xdr:row>
      <xdr:rowOff>161640</xdr:rowOff>
    </xdr:to>
    <xdr:graphicFrame>
      <xdr:nvGraphicFramePr>
        <xdr:cNvPr id="0" name="Chart 1"/>
        <xdr:cNvGraphicFramePr/>
      </xdr:nvGraphicFramePr>
      <xdr:xfrm>
        <a:off x="16118280" y="10000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4.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3" t="s">
        <v>3</v>
      </c>
    </row>
    <row r="6" customFormat="false" ht="14.15" hidden="false" customHeight="false" outlineLevel="0" collapsed="false">
      <c r="A6" s="3" t="s">
        <v>4</v>
      </c>
    </row>
    <row r="7" customFormat="false" ht="14.15" hidden="false" customHeight="false" outlineLevel="0" collapsed="false">
      <c r="A7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4.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6" customFormat="false" ht="15" hidden="false" customHeight="false" outlineLevel="0" collapsed="false">
      <c r="A16" s="2" t="s">
        <v>12</v>
      </c>
    </row>
    <row r="17" customFormat="false" ht="14.15" hidden="false" customHeight="false" outlineLevel="0" collapsed="false">
      <c r="A17" s="3" t="s">
        <v>13</v>
      </c>
    </row>
    <row r="18" customFormat="false" ht="14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48"/>
  </cols>
  <sheetData>
    <row r="1" customFormat="false" ht="17.35" hidden="false" customHeight="false" outlineLevel="0" collapsed="false">
      <c r="B1" s="1" t="s">
        <v>16</v>
      </c>
    </row>
    <row r="2" customFormat="false" ht="15" hidden="false" customHeight="false" outlineLevel="0" collapsed="false">
      <c r="B2" s="4" t="s">
        <v>17</v>
      </c>
    </row>
    <row r="4" customFormat="false" ht="15" hidden="false" customHeight="false" outlineLevel="0" collapsed="false">
      <c r="B4" s="5" t="s">
        <v>18</v>
      </c>
      <c r="C4" s="5" t="s">
        <v>19</v>
      </c>
      <c r="D4" s="5" t="s">
        <v>20</v>
      </c>
      <c r="E4" s="5" t="s">
        <v>21</v>
      </c>
    </row>
    <row r="5" customFormat="false" ht="15" hidden="false" customHeight="false" outlineLevel="0" collapsed="false">
      <c r="B5" s="6" t="s">
        <v>22</v>
      </c>
      <c r="C5" s="7"/>
      <c r="D5" s="7"/>
      <c r="E5" s="7"/>
    </row>
    <row r="6" customFormat="false" ht="15" hidden="false" customHeight="false" outlineLevel="0" collapsed="false">
      <c r="B6" s="8" t="s">
        <v>23</v>
      </c>
      <c r="C6" s="9" t="n">
        <v>100</v>
      </c>
      <c r="D6" s="8" t="s">
        <v>24</v>
      </c>
      <c r="E6" s="10" t="s">
        <v>25</v>
      </c>
    </row>
    <row r="7" customFormat="false" ht="15" hidden="false" customHeight="false" outlineLevel="0" collapsed="false">
      <c r="B7" s="8" t="s">
        <v>26</v>
      </c>
      <c r="C7" s="9" t="n">
        <v>400</v>
      </c>
      <c r="D7" s="8" t="s">
        <v>27</v>
      </c>
      <c r="E7" s="10" t="s">
        <v>28</v>
      </c>
    </row>
    <row r="8" customFormat="false" ht="15" hidden="false" customHeight="false" outlineLevel="0" collapsed="false">
      <c r="B8" s="8" t="s">
        <v>29</v>
      </c>
      <c r="C8" s="11" t="n">
        <v>2</v>
      </c>
      <c r="D8" s="8"/>
      <c r="E8" s="10" t="s">
        <v>30</v>
      </c>
    </row>
    <row r="9" customFormat="false" ht="15" hidden="false" customHeight="false" outlineLevel="0" collapsed="false">
      <c r="B9" s="8" t="s">
        <v>31</v>
      </c>
      <c r="C9" s="12" t="n">
        <v>0.6</v>
      </c>
      <c r="D9" s="8" t="s">
        <v>32</v>
      </c>
      <c r="E9" s="10" t="s">
        <v>33</v>
      </c>
    </row>
    <row r="10" customFormat="false" ht="15" hidden="false" customHeight="false" outlineLevel="0" collapsed="false">
      <c r="B10" s="8" t="s">
        <v>34</v>
      </c>
      <c r="C10" s="13" t="n">
        <f aca="false">(C7*60-C9*(C6-1))/SUMPRODUCT((เลเวล!$A$5:$A$104&lt;C6)*(เลเวล!$A$5:$A$104^C8))</f>
        <v>0.0729118318867063</v>
      </c>
      <c r="D10" s="14"/>
      <c r="E10" s="10" t="s">
        <v>35</v>
      </c>
    </row>
    <row r="11" customFormat="false" ht="15" hidden="false" customHeight="false" outlineLevel="0" collapsed="false">
      <c r="B11" s="6" t="s">
        <v>36</v>
      </c>
      <c r="C11" s="7"/>
      <c r="D11" s="7"/>
      <c r="E11" s="7"/>
    </row>
    <row r="12" customFormat="false" ht="15" hidden="false" customHeight="false" outlineLevel="0" collapsed="false">
      <c r="B12" s="8" t="s">
        <v>37</v>
      </c>
      <c r="C12" s="15" t="n">
        <v>10</v>
      </c>
      <c r="D12" s="8"/>
      <c r="E12" s="10" t="s">
        <v>38</v>
      </c>
    </row>
    <row r="13" customFormat="false" ht="15" hidden="false" customHeight="false" outlineLevel="0" collapsed="false">
      <c r="B13" s="8" t="s">
        <v>39</v>
      </c>
      <c r="C13" s="15" t="n">
        <v>2</v>
      </c>
      <c r="D13" s="8"/>
      <c r="E13" s="10"/>
    </row>
    <row r="14" customFormat="false" ht="15" hidden="false" customHeight="false" outlineLevel="0" collapsed="false">
      <c r="B14" s="8" t="s">
        <v>40</v>
      </c>
      <c r="C14" s="16" t="n">
        <v>0.02</v>
      </c>
      <c r="D14" s="8"/>
      <c r="E14" s="10" t="s">
        <v>41</v>
      </c>
    </row>
    <row r="15" customFormat="false" ht="15" hidden="false" customHeight="false" outlineLevel="0" collapsed="false">
      <c r="B15" s="8" t="s">
        <v>42</v>
      </c>
      <c r="C15" s="15" t="n">
        <v>90</v>
      </c>
      <c r="D15" s="8"/>
      <c r="E15" s="10" t="s">
        <v>43</v>
      </c>
    </row>
    <row r="16" customFormat="false" ht="15" hidden="false" customHeight="false" outlineLevel="0" collapsed="false">
      <c r="B16" s="8" t="s">
        <v>44</v>
      </c>
      <c r="C16" s="15" t="n">
        <v>10</v>
      </c>
      <c r="D16" s="8"/>
      <c r="E16" s="10"/>
    </row>
    <row r="17" customFormat="false" ht="15" hidden="false" customHeight="false" outlineLevel="0" collapsed="false">
      <c r="B17" s="8" t="s">
        <v>45</v>
      </c>
      <c r="C17" s="16" t="n">
        <v>0.015</v>
      </c>
      <c r="D17" s="8"/>
      <c r="E17" s="10"/>
    </row>
    <row r="18" customFormat="false" ht="15" hidden="false" customHeight="false" outlineLevel="0" collapsed="false">
      <c r="B18" s="8" t="s">
        <v>46</v>
      </c>
      <c r="C18" s="17" t="n">
        <v>0.7</v>
      </c>
      <c r="D18" s="8" t="s">
        <v>47</v>
      </c>
      <c r="E18" s="10" t="s">
        <v>48</v>
      </c>
    </row>
    <row r="19" customFormat="false" ht="15" hidden="false" customHeight="false" outlineLevel="0" collapsed="false">
      <c r="B19" s="6" t="s">
        <v>49</v>
      </c>
      <c r="C19" s="7"/>
      <c r="D19" s="7"/>
      <c r="E19" s="7"/>
    </row>
    <row r="20" customFormat="false" ht="15" hidden="false" customHeight="false" outlineLevel="0" collapsed="false">
      <c r="B20" s="8" t="s">
        <v>50</v>
      </c>
      <c r="C20" s="9" t="n">
        <v>4</v>
      </c>
      <c r="D20" s="8" t="s">
        <v>51</v>
      </c>
      <c r="E20" s="10" t="s">
        <v>52</v>
      </c>
    </row>
    <row r="21" customFormat="false" ht="15" hidden="false" customHeight="false" outlineLevel="0" collapsed="false">
      <c r="B21" s="8" t="s">
        <v>53</v>
      </c>
      <c r="C21" s="15" t="n">
        <v>4</v>
      </c>
      <c r="D21" s="8" t="s">
        <v>54</v>
      </c>
      <c r="E21" s="10" t="s">
        <v>55</v>
      </c>
    </row>
    <row r="22" customFormat="false" ht="15" hidden="false" customHeight="false" outlineLevel="0" collapsed="false">
      <c r="B22" s="8" t="s">
        <v>56</v>
      </c>
      <c r="C22" s="16" t="n">
        <v>0.05</v>
      </c>
      <c r="D22" s="8" t="s">
        <v>57</v>
      </c>
      <c r="E22" s="10"/>
    </row>
    <row r="23" customFormat="false" ht="15" hidden="false" customHeight="false" outlineLevel="0" collapsed="false">
      <c r="B23" s="8" t="s">
        <v>58</v>
      </c>
      <c r="C23" s="15" t="n">
        <v>12</v>
      </c>
      <c r="D23" s="8" t="s">
        <v>51</v>
      </c>
      <c r="E23" s="10" t="s">
        <v>59</v>
      </c>
    </row>
    <row r="24" customFormat="false" ht="15" hidden="false" customHeight="false" outlineLevel="0" collapsed="false">
      <c r="B24" s="8" t="s">
        <v>60</v>
      </c>
      <c r="C24" s="15" t="n">
        <v>15</v>
      </c>
      <c r="D24" s="8"/>
      <c r="E24" s="10" t="s">
        <v>61</v>
      </c>
    </row>
    <row r="25" customFormat="false" ht="15" hidden="false" customHeight="false" outlineLevel="0" collapsed="false">
      <c r="B25" s="8" t="s">
        <v>62</v>
      </c>
      <c r="C25" s="17" t="n">
        <v>3</v>
      </c>
      <c r="D25" s="8"/>
      <c r="E25" s="10" t="s">
        <v>63</v>
      </c>
    </row>
    <row r="26" customFormat="false" ht="15" hidden="false" customHeight="false" outlineLevel="0" collapsed="false">
      <c r="B26" s="8" t="s">
        <v>64</v>
      </c>
      <c r="C26" s="17" t="n">
        <v>0.5</v>
      </c>
      <c r="D26" s="8" t="s">
        <v>65</v>
      </c>
      <c r="E26" s="10" t="s">
        <v>66</v>
      </c>
    </row>
    <row r="27" customFormat="false" ht="15" hidden="false" customHeight="false" outlineLevel="0" collapsed="false">
      <c r="B27" s="8" t="s">
        <v>67</v>
      </c>
      <c r="C27" s="18" t="n">
        <v>0.2</v>
      </c>
      <c r="D27" s="8"/>
      <c r="E27" s="10"/>
    </row>
    <row r="28" customFormat="false" ht="15" hidden="false" customHeight="false" outlineLevel="0" collapsed="false">
      <c r="B28" s="6" t="s">
        <v>68</v>
      </c>
      <c r="C28" s="7"/>
      <c r="D28" s="7"/>
      <c r="E28" s="7"/>
    </row>
    <row r="29" customFormat="false" ht="15" hidden="false" customHeight="false" outlineLevel="0" collapsed="false">
      <c r="B29" s="8" t="s">
        <v>69</v>
      </c>
      <c r="C29" s="15" t="n">
        <v>40</v>
      </c>
      <c r="D29" s="8" t="s">
        <v>70</v>
      </c>
      <c r="E29" s="10" t="s">
        <v>71</v>
      </c>
    </row>
    <row r="30" customFormat="false" ht="15" hidden="false" customHeight="false" outlineLevel="0" collapsed="false">
      <c r="B30" s="8" t="s">
        <v>72</v>
      </c>
      <c r="C30" s="15" t="n">
        <v>25</v>
      </c>
      <c r="D30" s="8" t="s">
        <v>70</v>
      </c>
      <c r="E30" s="10"/>
    </row>
    <row r="31" customFormat="false" ht="15" hidden="false" customHeight="false" outlineLevel="0" collapsed="false">
      <c r="B31" s="8" t="s">
        <v>73</v>
      </c>
      <c r="C31" s="12" t="n">
        <v>2.5</v>
      </c>
      <c r="D31" s="8" t="s">
        <v>70</v>
      </c>
      <c r="E31" s="10"/>
    </row>
    <row r="32" customFormat="false" ht="15" hidden="false" customHeight="false" outlineLevel="0" collapsed="false">
      <c r="B32" s="8" t="s">
        <v>74</v>
      </c>
      <c r="C32" s="12" t="n">
        <v>2</v>
      </c>
      <c r="D32" s="8" t="s">
        <v>70</v>
      </c>
      <c r="E32" s="10"/>
    </row>
    <row r="33" customFormat="false" ht="15" hidden="false" customHeight="false" outlineLevel="0" collapsed="false">
      <c r="B33" s="8" t="s">
        <v>75</v>
      </c>
      <c r="C33" s="15" t="n">
        <v>20</v>
      </c>
      <c r="D33" s="8" t="s">
        <v>70</v>
      </c>
      <c r="E33" s="10"/>
    </row>
    <row r="34" customFormat="false" ht="15" hidden="false" customHeight="false" outlineLevel="0" collapsed="false">
      <c r="B34" s="6" t="s">
        <v>76</v>
      </c>
      <c r="C34" s="7"/>
      <c r="D34" s="7"/>
      <c r="E34" s="7"/>
    </row>
    <row r="35" customFormat="false" ht="15" hidden="false" customHeight="false" outlineLevel="0" collapsed="false">
      <c r="B35" s="19" t="s">
        <v>77</v>
      </c>
      <c r="C35" s="20" t="n">
        <f aca="false">INDEX(เลเวล!$R$5:$R$104,10)*60</f>
        <v>26.4066666666667</v>
      </c>
      <c r="D35" s="21" t="s">
        <v>32</v>
      </c>
      <c r="E35" s="10"/>
    </row>
    <row r="36" customFormat="false" ht="15" hidden="false" customHeight="false" outlineLevel="0" collapsed="false">
      <c r="B36" s="19" t="s">
        <v>78</v>
      </c>
      <c r="C36" s="22" t="n">
        <f aca="false">INDEX(เลเวล!$R$5:$R$104,20)</f>
        <v>3.20733333333333</v>
      </c>
      <c r="D36" s="21" t="s">
        <v>27</v>
      </c>
      <c r="E36" s="10"/>
    </row>
    <row r="37" customFormat="false" ht="15" hidden="false" customHeight="false" outlineLevel="0" collapsed="false">
      <c r="B37" s="19" t="s">
        <v>79</v>
      </c>
      <c r="C37" s="22" t="n">
        <f aca="false">INDEX(เลเวล!$R$5:$R$104,30)</f>
        <v>10.7081111111111</v>
      </c>
      <c r="D37" s="21" t="s">
        <v>27</v>
      </c>
      <c r="E37" s="10"/>
    </row>
    <row r="38" customFormat="false" ht="15" hidden="false" customHeight="false" outlineLevel="0" collapsed="false">
      <c r="B38" s="19" t="s">
        <v>80</v>
      </c>
      <c r="C38" s="22" t="n">
        <f aca="false">INDEX(เลเวล!$R$5:$R$104,50)</f>
        <v>49.6588888888889</v>
      </c>
      <c r="D38" s="21" t="s">
        <v>27</v>
      </c>
      <c r="E38" s="10"/>
    </row>
    <row r="39" customFormat="false" ht="15" hidden="false" customHeight="false" outlineLevel="0" collapsed="false">
      <c r="B39" s="19" t="s">
        <v>81</v>
      </c>
      <c r="C39" s="22" t="n">
        <f aca="false">INDEX(เลเวล!$R$5:$R$104,C6)</f>
        <v>400.093111111111</v>
      </c>
      <c r="D39" s="21" t="s">
        <v>27</v>
      </c>
      <c r="E39" s="10"/>
    </row>
    <row r="40" customFormat="false" ht="15" hidden="false" customHeight="false" outlineLevel="0" collapsed="false">
      <c r="B40" s="19" t="s">
        <v>82</v>
      </c>
      <c r="C40" s="20" t="n">
        <f aca="false">C39/2</f>
        <v>200.046555555556</v>
      </c>
      <c r="D40" s="21" t="s">
        <v>83</v>
      </c>
      <c r="E40" s="10"/>
    </row>
    <row r="41" customFormat="false" ht="15" hidden="false" customHeight="false" outlineLevel="0" collapsed="false">
      <c r="B41" s="19" t="s">
        <v>84</v>
      </c>
      <c r="C41" s="23" t="n">
        <f aca="false">INDEX(เลเวล!$P$5:$P$104,1)</f>
        <v>5</v>
      </c>
      <c r="D41" s="21" t="s">
        <v>85</v>
      </c>
      <c r="E41" s="10"/>
    </row>
    <row r="42" customFormat="false" ht="15" hidden="false" customHeight="false" outlineLevel="0" collapsed="false">
      <c r="B42" s="19" t="s">
        <v>86</v>
      </c>
      <c r="C42" s="23" t="n">
        <f aca="false">INDEX(เลเวล!$P$5:$P$104,50)</f>
        <v>1614</v>
      </c>
      <c r="D42" s="21" t="s">
        <v>85</v>
      </c>
      <c r="E4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7" min="1" style="0" width="12"/>
    <col collapsed="false" customWidth="true" hidden="false" outlineLevel="0" max="18" min="18" style="0" width="16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4" t="s">
        <v>88</v>
      </c>
    </row>
    <row r="4" customFormat="false" ht="33.75" hidden="false" customHeight="true" outlineLevel="0" collapsed="false">
      <c r="A4" s="24" t="s">
        <v>24</v>
      </c>
      <c r="B4" s="24" t="s">
        <v>89</v>
      </c>
      <c r="C4" s="24" t="s">
        <v>90</v>
      </c>
      <c r="D4" s="24" t="s">
        <v>91</v>
      </c>
      <c r="E4" s="24" t="s">
        <v>92</v>
      </c>
      <c r="F4" s="24" t="s">
        <v>93</v>
      </c>
      <c r="G4" s="24" t="s">
        <v>94</v>
      </c>
      <c r="H4" s="24" t="s">
        <v>95</v>
      </c>
      <c r="I4" s="24" t="s">
        <v>96</v>
      </c>
      <c r="J4" s="24" t="s">
        <v>97</v>
      </c>
      <c r="K4" s="24" t="s">
        <v>98</v>
      </c>
      <c r="L4" s="24" t="s">
        <v>99</v>
      </c>
      <c r="M4" s="24" t="s">
        <v>100</v>
      </c>
      <c r="N4" s="24" t="s">
        <v>101</v>
      </c>
      <c r="O4" s="24" t="s">
        <v>102</v>
      </c>
      <c r="P4" s="24" t="s">
        <v>103</v>
      </c>
      <c r="Q4" s="24" t="s">
        <v>104</v>
      </c>
      <c r="R4" s="24" t="s">
        <v>105</v>
      </c>
    </row>
    <row r="5" customFormat="false" ht="15" hidden="false" customHeight="false" outlineLevel="0" collapsed="false">
      <c r="A5" s="3" t="n">
        <v>1</v>
      </c>
      <c r="B5" s="25" t="n">
        <f aca="false">ROUND(ตั้งค่า!$C$24*A5^ตั้งค่า!$C$25,0)</f>
        <v>15</v>
      </c>
      <c r="C5" s="25" t="n">
        <f aca="false">0</f>
        <v>0</v>
      </c>
      <c r="D5" s="26" t="n">
        <f aca="false">ROUND((ตั้งค่า!$C$12+ตั้งค่า!$C$13*A5)*(1+ตั้งค่า!$C$14)^(A5-1),1)</f>
        <v>12</v>
      </c>
      <c r="E5" s="25" t="n">
        <f aca="false">ROUND((ตั้งค่า!$C$15+ตั้งค่า!$C$16*A5)*(1+ตั้งค่า!$C$17)^(A5-1),0)</f>
        <v>100</v>
      </c>
      <c r="F5" s="25" t="n">
        <f aca="false">ROUND(D5*ตั้งค่า!$C$22,0)</f>
        <v>1</v>
      </c>
      <c r="G5" s="26" t="n">
        <f aca="false">MAX(1,D5-F5)</f>
        <v>11</v>
      </c>
      <c r="H5" s="25" t="n">
        <f aca="false">ROUND(ตั้งค่า!$C$20*G5,0)</f>
        <v>44</v>
      </c>
      <c r="I5" s="25" t="n">
        <f aca="false">MAX(1,ROUND(E5/ตั้งค่า!$C$23,0))</f>
        <v>8</v>
      </c>
      <c r="J5" s="27" t="n">
        <f aca="false">ตั้งค่า!$C$20*ตั้งค่า!$C$18+ตั้งค่า!$C$21</f>
        <v>6.8</v>
      </c>
      <c r="K5" s="27" t="n">
        <f aca="false">ตั้งค่า!$C$10*A5^ตั้งค่า!$C$8+ตั้งค่า!$C$9</f>
        <v>0.672911831886706</v>
      </c>
      <c r="L5" s="25" t="n">
        <f aca="false">K5*60/J5</f>
        <v>5.93745734017682</v>
      </c>
      <c r="M5" s="25" t="n">
        <f aca="false">MAX(1,ROUND(B5/L5,0))</f>
        <v>3</v>
      </c>
      <c r="N5" s="25" t="n">
        <f aca="false">MAX(1,ROUND(M5*ตั้งค่า!$C$26*(1-ตั้งค่า!$C$27),0))</f>
        <v>1</v>
      </c>
      <c r="O5" s="25" t="n">
        <f aca="false">MAX(1,ROUND(M5*ตั้งค่า!$C$26*(1+ตั้งค่า!$C$27),0))</f>
        <v>2</v>
      </c>
      <c r="P5" s="25" t="n">
        <f aca="false">ROUNDUP(B5/M5,0)</f>
        <v>5</v>
      </c>
      <c r="Q5" s="27" t="n">
        <f aca="false">P5*J5/60</f>
        <v>0.566666666666667</v>
      </c>
      <c r="R5" s="26" t="n">
        <f aca="false">0</f>
        <v>0</v>
      </c>
    </row>
    <row r="6" customFormat="false" ht="15" hidden="false" customHeight="false" outlineLevel="0" collapsed="false">
      <c r="A6" s="3" t="n">
        <v>2</v>
      </c>
      <c r="B6" s="25" t="n">
        <f aca="false">ROUND(ตั้งค่า!$C$24*A6^ตั้งค่า!$C$25,0)</f>
        <v>120</v>
      </c>
      <c r="C6" s="25" t="n">
        <f aca="false">C5+B5</f>
        <v>15</v>
      </c>
      <c r="D6" s="26" t="n">
        <f aca="false">ROUND((ตั้งค่า!$C$12+ตั้งค่า!$C$13*A6)*(1+ตั้งค่า!$C$14)^(A6-1),1)</f>
        <v>14.3</v>
      </c>
      <c r="E6" s="25" t="n">
        <f aca="false">ROUND((ตั้งค่า!$C$15+ตั้งค่า!$C$16*A6)*(1+ตั้งค่า!$C$17)^(A6-1),0)</f>
        <v>112</v>
      </c>
      <c r="F6" s="25" t="n">
        <f aca="false">ROUND(D6*ตั้งค่า!$C$22,0)</f>
        <v>1</v>
      </c>
      <c r="G6" s="26" t="n">
        <f aca="false">MAX(1,D6-F6)</f>
        <v>13.3</v>
      </c>
      <c r="H6" s="25" t="n">
        <f aca="false">ROUND(ตั้งค่า!$C$20*G6,0)</f>
        <v>53</v>
      </c>
      <c r="I6" s="25" t="n">
        <f aca="false">MAX(1,ROUND(E6/ตั้งค่า!$C$23,0))</f>
        <v>9</v>
      </c>
      <c r="J6" s="27" t="n">
        <f aca="false">ตั้งค่า!$C$20*ตั้งค่า!$C$18+ตั้งค่า!$C$21</f>
        <v>6.8</v>
      </c>
      <c r="K6" s="27" t="n">
        <f aca="false">ตั้งค่า!$C$10*A6^ตั้งค่า!$C$8+ตั้งค่า!$C$9</f>
        <v>0.891647327546825</v>
      </c>
      <c r="L6" s="25" t="n">
        <f aca="false">K6*60/J6</f>
        <v>7.86747641953081</v>
      </c>
      <c r="M6" s="25" t="n">
        <f aca="false">MAX(1,ROUND(B6/L6,0))</f>
        <v>15</v>
      </c>
      <c r="N6" s="25" t="n">
        <f aca="false">MAX(1,ROUND(M6*ตั้งค่า!$C$26*(1-ตั้งค่า!$C$27),0))</f>
        <v>6</v>
      </c>
      <c r="O6" s="25" t="n">
        <f aca="false">MAX(1,ROUND(M6*ตั้งค่า!$C$26*(1+ตั้งค่า!$C$27),0))</f>
        <v>9</v>
      </c>
      <c r="P6" s="25" t="n">
        <f aca="false">ROUNDUP(B6/M6,0)</f>
        <v>8</v>
      </c>
      <c r="Q6" s="27" t="n">
        <f aca="false">P6*J6/60</f>
        <v>0.906666666666667</v>
      </c>
      <c r="R6" s="26" t="n">
        <f aca="false">R5+Q5/60</f>
        <v>0.00944444444444445</v>
      </c>
    </row>
    <row r="7" customFormat="false" ht="15" hidden="false" customHeight="false" outlineLevel="0" collapsed="false">
      <c r="A7" s="3" t="n">
        <v>3</v>
      </c>
      <c r="B7" s="25" t="n">
        <f aca="false">ROUND(ตั้งค่า!$C$24*A7^ตั้งค่า!$C$25,0)</f>
        <v>405</v>
      </c>
      <c r="C7" s="25" t="n">
        <f aca="false">C6+B6</f>
        <v>135</v>
      </c>
      <c r="D7" s="26" t="n">
        <f aca="false">ROUND((ตั้งค่า!$C$12+ตั้งค่า!$C$13*A7)*(1+ตั้งค่า!$C$14)^(A7-1),1)</f>
        <v>16.6</v>
      </c>
      <c r="E7" s="25" t="n">
        <f aca="false">ROUND((ตั้งค่า!$C$15+ตั้งค่า!$C$16*A7)*(1+ตั้งค่า!$C$17)^(A7-1),0)</f>
        <v>124</v>
      </c>
      <c r="F7" s="25" t="n">
        <f aca="false">ROUND(D7*ตั้งค่า!$C$22,0)</f>
        <v>1</v>
      </c>
      <c r="G7" s="26" t="n">
        <f aca="false">MAX(1,D7-F7)</f>
        <v>15.6</v>
      </c>
      <c r="H7" s="25" t="n">
        <f aca="false">ROUND(ตั้งค่า!$C$20*G7,0)</f>
        <v>62</v>
      </c>
      <c r="I7" s="25" t="n">
        <f aca="false">MAX(1,ROUND(E7/ตั้งค่า!$C$23,0))</f>
        <v>10</v>
      </c>
      <c r="J7" s="27" t="n">
        <f aca="false">ตั้งค่า!$C$20*ตั้งค่า!$C$18+ตั้งค่า!$C$21</f>
        <v>6.8</v>
      </c>
      <c r="K7" s="27" t="n">
        <f aca="false">ตั้งค่า!$C$10*A7^ตั้งค่า!$C$8+ตั้งค่า!$C$9</f>
        <v>1.25620648698036</v>
      </c>
      <c r="L7" s="25" t="n">
        <f aca="false">K7*60/J7</f>
        <v>11.0841748851208</v>
      </c>
      <c r="M7" s="25" t="n">
        <f aca="false">MAX(1,ROUND(B7/L7,0))</f>
        <v>37</v>
      </c>
      <c r="N7" s="25" t="n">
        <f aca="false">MAX(1,ROUND(M7*ตั้งค่า!$C$26*(1-ตั้งค่า!$C$27),0))</f>
        <v>15</v>
      </c>
      <c r="O7" s="25" t="n">
        <f aca="false">MAX(1,ROUND(M7*ตั้งค่า!$C$26*(1+ตั้งค่า!$C$27),0))</f>
        <v>22</v>
      </c>
      <c r="P7" s="25" t="n">
        <f aca="false">ROUNDUP(B7/M7,0)</f>
        <v>11</v>
      </c>
      <c r="Q7" s="27" t="n">
        <f aca="false">P7*J7/60</f>
        <v>1.24666666666667</v>
      </c>
      <c r="R7" s="26" t="n">
        <f aca="false">R6+Q6/60</f>
        <v>0.0245555555555556</v>
      </c>
    </row>
    <row r="8" customFormat="false" ht="15" hidden="false" customHeight="false" outlineLevel="0" collapsed="false">
      <c r="A8" s="3" t="n">
        <v>4</v>
      </c>
      <c r="B8" s="25" t="n">
        <f aca="false">ROUND(ตั้งค่า!$C$24*A8^ตั้งค่า!$C$25,0)</f>
        <v>960</v>
      </c>
      <c r="C8" s="25" t="n">
        <f aca="false">C7+B7</f>
        <v>540</v>
      </c>
      <c r="D8" s="26" t="n">
        <f aca="false">ROUND((ตั้งค่า!$C$12+ตั้งค่า!$C$13*A8)*(1+ตั้งค่า!$C$14)^(A8-1),1)</f>
        <v>19.1</v>
      </c>
      <c r="E8" s="25" t="n">
        <f aca="false">ROUND((ตั้งค่า!$C$15+ตั้งค่า!$C$16*A8)*(1+ตั้งค่า!$C$17)^(A8-1),0)</f>
        <v>136</v>
      </c>
      <c r="F8" s="25" t="n">
        <f aca="false">ROUND(D8*ตั้งค่า!$C$22,0)</f>
        <v>1</v>
      </c>
      <c r="G8" s="26" t="n">
        <f aca="false">MAX(1,D8-F8)</f>
        <v>18.1</v>
      </c>
      <c r="H8" s="25" t="n">
        <f aca="false">ROUND(ตั้งค่า!$C$20*G8,0)</f>
        <v>72</v>
      </c>
      <c r="I8" s="25" t="n">
        <f aca="false">MAX(1,ROUND(E8/ตั้งค่า!$C$23,0))</f>
        <v>11</v>
      </c>
      <c r="J8" s="27" t="n">
        <f aca="false">ตั้งค่า!$C$20*ตั้งค่า!$C$18+ตั้งค่า!$C$21</f>
        <v>6.8</v>
      </c>
      <c r="K8" s="27" t="n">
        <f aca="false">ตั้งค่า!$C$10*A8^ตั้งค่า!$C$8+ตั้งค่า!$C$9</f>
        <v>1.7665893101873</v>
      </c>
      <c r="L8" s="25" t="n">
        <f aca="false">K8*60/J8</f>
        <v>15.5875527369468</v>
      </c>
      <c r="M8" s="25" t="n">
        <f aca="false">MAX(1,ROUND(B8/L8,0))</f>
        <v>62</v>
      </c>
      <c r="N8" s="25" t="n">
        <f aca="false">MAX(1,ROUND(M8*ตั้งค่า!$C$26*(1-ตั้งค่า!$C$27),0))</f>
        <v>25</v>
      </c>
      <c r="O8" s="25" t="n">
        <f aca="false">MAX(1,ROUND(M8*ตั้งค่า!$C$26*(1+ตั้งค่า!$C$27),0))</f>
        <v>37</v>
      </c>
      <c r="P8" s="25" t="n">
        <f aca="false">ROUNDUP(B8/M8,0)</f>
        <v>16</v>
      </c>
      <c r="Q8" s="27" t="n">
        <f aca="false">P8*J8/60</f>
        <v>1.81333333333333</v>
      </c>
      <c r="R8" s="26" t="n">
        <f aca="false">R7+Q7/60</f>
        <v>0.0453333333333333</v>
      </c>
    </row>
    <row r="9" customFormat="false" ht="15" hidden="false" customHeight="false" outlineLevel="0" collapsed="false">
      <c r="A9" s="3" t="n">
        <v>5</v>
      </c>
      <c r="B9" s="25" t="n">
        <f aca="false">ROUND(ตั้งค่า!$C$24*A9^ตั้งค่า!$C$25,0)</f>
        <v>1875</v>
      </c>
      <c r="C9" s="25" t="n">
        <f aca="false">C8+B8</f>
        <v>1500</v>
      </c>
      <c r="D9" s="26" t="n">
        <f aca="false">ROUND((ตั้งค่า!$C$12+ตั้งค่า!$C$13*A9)*(1+ตั้งค่า!$C$14)^(A9-1),1)</f>
        <v>21.6</v>
      </c>
      <c r="E9" s="25" t="n">
        <f aca="false">ROUND((ตั้งค่า!$C$15+ตั้งค่า!$C$16*A9)*(1+ตั้งค่า!$C$17)^(A9-1),0)</f>
        <v>149</v>
      </c>
      <c r="F9" s="25" t="n">
        <f aca="false">ROUND(D9*ตั้งค่า!$C$22,0)</f>
        <v>1</v>
      </c>
      <c r="G9" s="26" t="n">
        <f aca="false">MAX(1,D9-F9)</f>
        <v>20.6</v>
      </c>
      <c r="H9" s="25" t="n">
        <f aca="false">ROUND(ตั้งค่า!$C$20*G9,0)</f>
        <v>82</v>
      </c>
      <c r="I9" s="25" t="n">
        <f aca="false">MAX(1,ROUND(E9/ตั้งค่า!$C$23,0))</f>
        <v>12</v>
      </c>
      <c r="J9" s="27" t="n">
        <f aca="false">ตั้งค่า!$C$20*ตั้งค่า!$C$18+ตั้งค่า!$C$21</f>
        <v>6.8</v>
      </c>
      <c r="K9" s="27" t="n">
        <f aca="false">ตั้งค่า!$C$10*A9^ตั้งค่า!$C$8+ตั้งค่า!$C$9</f>
        <v>2.42279579716766</v>
      </c>
      <c r="L9" s="25" t="n">
        <f aca="false">K9*60/J9</f>
        <v>21.3776099750087</v>
      </c>
      <c r="M9" s="25" t="n">
        <f aca="false">MAX(1,ROUND(B9/L9,0))</f>
        <v>88</v>
      </c>
      <c r="N9" s="25" t="n">
        <f aca="false">MAX(1,ROUND(M9*ตั้งค่า!$C$26*(1-ตั้งค่า!$C$27),0))</f>
        <v>35</v>
      </c>
      <c r="O9" s="25" t="n">
        <f aca="false">MAX(1,ROUND(M9*ตั้งค่า!$C$26*(1+ตั้งค่า!$C$27),0))</f>
        <v>53</v>
      </c>
      <c r="P9" s="25" t="n">
        <f aca="false">ROUNDUP(B9/M9,0)</f>
        <v>22</v>
      </c>
      <c r="Q9" s="27" t="n">
        <f aca="false">P9*J9/60</f>
        <v>2.49333333333333</v>
      </c>
      <c r="R9" s="26" t="n">
        <f aca="false">R8+Q8/60</f>
        <v>0.0755555555555555</v>
      </c>
    </row>
    <row r="10" customFormat="false" ht="15" hidden="false" customHeight="false" outlineLevel="0" collapsed="false">
      <c r="A10" s="3" t="n">
        <v>6</v>
      </c>
      <c r="B10" s="25" t="n">
        <f aca="false">ROUND(ตั้งค่า!$C$24*A10^ตั้งค่า!$C$25,0)</f>
        <v>3240</v>
      </c>
      <c r="C10" s="25" t="n">
        <f aca="false">C9+B9</f>
        <v>3375</v>
      </c>
      <c r="D10" s="26" t="n">
        <f aca="false">ROUND((ตั้งค่า!$C$12+ตั้งค่า!$C$13*A10)*(1+ตั้งค่า!$C$14)^(A10-1),1)</f>
        <v>24.3</v>
      </c>
      <c r="E10" s="25" t="n">
        <f aca="false">ROUND((ตั้งค่า!$C$15+ตั้งค่า!$C$16*A10)*(1+ตั้งค่า!$C$17)^(A10-1),0)</f>
        <v>162</v>
      </c>
      <c r="F10" s="25" t="n">
        <f aca="false">ROUND(D10*ตั้งค่า!$C$22,0)</f>
        <v>1</v>
      </c>
      <c r="G10" s="26" t="n">
        <f aca="false">MAX(1,D10-F10)</f>
        <v>23.3</v>
      </c>
      <c r="H10" s="25" t="n">
        <f aca="false">ROUND(ตั้งค่า!$C$20*G10,0)</f>
        <v>93</v>
      </c>
      <c r="I10" s="25" t="n">
        <f aca="false">MAX(1,ROUND(E10/ตั้งค่า!$C$23,0))</f>
        <v>14</v>
      </c>
      <c r="J10" s="27" t="n">
        <f aca="false">ตั้งค่า!$C$20*ตั้งค่า!$C$18+ตั้งค่า!$C$21</f>
        <v>6.8</v>
      </c>
      <c r="K10" s="27" t="n">
        <f aca="false">ตั้งค่า!$C$10*A10^ตั้งค่า!$C$8+ตั้งค่า!$C$9</f>
        <v>3.22482594792143</v>
      </c>
      <c r="L10" s="25" t="n">
        <f aca="false">K10*60/J10</f>
        <v>28.4543465993067</v>
      </c>
      <c r="M10" s="25" t="n">
        <f aca="false">MAX(1,ROUND(B10/L10,0))</f>
        <v>114</v>
      </c>
      <c r="N10" s="25" t="n">
        <f aca="false">MAX(1,ROUND(M10*ตั้งค่า!$C$26*(1-ตั้งค่า!$C$27),0))</f>
        <v>46</v>
      </c>
      <c r="O10" s="25" t="n">
        <f aca="false">MAX(1,ROUND(M10*ตั้งค่า!$C$26*(1+ตั้งค่า!$C$27),0))</f>
        <v>68</v>
      </c>
      <c r="P10" s="25" t="n">
        <f aca="false">ROUNDUP(B10/M10,0)</f>
        <v>29</v>
      </c>
      <c r="Q10" s="27" t="n">
        <f aca="false">P10*J10/60</f>
        <v>3.28666666666667</v>
      </c>
      <c r="R10" s="26" t="n">
        <f aca="false">R9+Q9/60</f>
        <v>0.117111111111111</v>
      </c>
    </row>
    <row r="11" customFormat="false" ht="15" hidden="false" customHeight="false" outlineLevel="0" collapsed="false">
      <c r="A11" s="3" t="n">
        <v>7</v>
      </c>
      <c r="B11" s="25" t="n">
        <f aca="false">ROUND(ตั้งค่า!$C$24*A11^ตั้งค่า!$C$25,0)</f>
        <v>5145</v>
      </c>
      <c r="C11" s="25" t="n">
        <f aca="false">C10+B10</f>
        <v>6615</v>
      </c>
      <c r="D11" s="26" t="n">
        <f aca="false">ROUND((ตั้งค่า!$C$12+ตั้งค่า!$C$13*A11)*(1+ตั้งค่า!$C$14)^(A11-1),1)</f>
        <v>27</v>
      </c>
      <c r="E11" s="25" t="n">
        <f aca="false">ROUND((ตั้งค่า!$C$15+ตั้งค่า!$C$16*A11)*(1+ตั้งค่า!$C$17)^(A11-1),0)</f>
        <v>175</v>
      </c>
      <c r="F11" s="25" t="n">
        <f aca="false">ROUND(D11*ตั้งค่า!$C$22,0)</f>
        <v>1</v>
      </c>
      <c r="G11" s="26" t="n">
        <f aca="false">MAX(1,D11-F11)</f>
        <v>26</v>
      </c>
      <c r="H11" s="25" t="n">
        <f aca="false">ROUND(ตั้งค่า!$C$20*G11,0)</f>
        <v>104</v>
      </c>
      <c r="I11" s="25" t="n">
        <f aca="false">MAX(1,ROUND(E11/ตั้งค่า!$C$23,0))</f>
        <v>15</v>
      </c>
      <c r="J11" s="27" t="n">
        <f aca="false">ตั้งค่า!$C$20*ตั้งค่า!$C$18+ตั้งค่า!$C$21</f>
        <v>6.8</v>
      </c>
      <c r="K11" s="27" t="n">
        <f aca="false">ตั้งค่า!$C$10*A11^ตั้งค่า!$C$8+ตั้งค่า!$C$9</f>
        <v>4.17267976244861</v>
      </c>
      <c r="L11" s="25" t="n">
        <f aca="false">K11*60/J11</f>
        <v>36.8177626098407</v>
      </c>
      <c r="M11" s="25" t="n">
        <f aca="false">MAX(1,ROUND(B11/L11,0))</f>
        <v>140</v>
      </c>
      <c r="N11" s="25" t="n">
        <f aca="false">MAX(1,ROUND(M11*ตั้งค่า!$C$26*(1-ตั้งค่า!$C$27),0))</f>
        <v>56</v>
      </c>
      <c r="O11" s="25" t="n">
        <f aca="false">MAX(1,ROUND(M11*ตั้งค่า!$C$26*(1+ตั้งค่า!$C$27),0))</f>
        <v>84</v>
      </c>
      <c r="P11" s="25" t="n">
        <f aca="false">ROUNDUP(B11/M11,0)</f>
        <v>37</v>
      </c>
      <c r="Q11" s="27" t="n">
        <f aca="false">P11*J11/60</f>
        <v>4.19333333333333</v>
      </c>
      <c r="R11" s="26" t="n">
        <f aca="false">R10+Q10/60</f>
        <v>0.171888888888889</v>
      </c>
    </row>
    <row r="12" customFormat="false" ht="15" hidden="false" customHeight="false" outlineLevel="0" collapsed="false">
      <c r="A12" s="3" t="n">
        <v>8</v>
      </c>
      <c r="B12" s="25" t="n">
        <f aca="false">ROUND(ตั้งค่า!$C$24*A12^ตั้งค่า!$C$25,0)</f>
        <v>7680</v>
      </c>
      <c r="C12" s="25" t="n">
        <f aca="false">C11+B11</f>
        <v>11760</v>
      </c>
      <c r="D12" s="26" t="n">
        <f aca="false">ROUND((ตั้งค่า!$C$12+ตั้งค่า!$C$13*A12)*(1+ตั้งค่า!$C$14)^(A12-1),1)</f>
        <v>29.9</v>
      </c>
      <c r="E12" s="25" t="n">
        <f aca="false">ROUND((ตั้งค่า!$C$15+ตั้งค่า!$C$16*A12)*(1+ตั้งค่า!$C$17)^(A12-1),0)</f>
        <v>189</v>
      </c>
      <c r="F12" s="25" t="n">
        <f aca="false">ROUND(D12*ตั้งค่า!$C$22,0)</f>
        <v>1</v>
      </c>
      <c r="G12" s="26" t="n">
        <f aca="false">MAX(1,D12-F12)</f>
        <v>28.9</v>
      </c>
      <c r="H12" s="25" t="n">
        <f aca="false">ROUND(ตั้งค่า!$C$20*G12,0)</f>
        <v>116</v>
      </c>
      <c r="I12" s="25" t="n">
        <f aca="false">MAX(1,ROUND(E12/ตั้งค่า!$C$23,0))</f>
        <v>16</v>
      </c>
      <c r="J12" s="27" t="n">
        <f aca="false">ตั้งค่า!$C$20*ตั้งค่า!$C$18+ตั้งค่า!$C$21</f>
        <v>6.8</v>
      </c>
      <c r="K12" s="27" t="n">
        <f aca="false">ตั้งค่า!$C$10*A12^ตั้งค่า!$C$8+ตั้งค่า!$C$9</f>
        <v>5.2663572407492</v>
      </c>
      <c r="L12" s="25" t="n">
        <f aca="false">K12*60/J12</f>
        <v>46.4678580066106</v>
      </c>
      <c r="M12" s="25" t="n">
        <f aca="false">MAX(1,ROUND(B12/L12,0))</f>
        <v>165</v>
      </c>
      <c r="N12" s="25" t="n">
        <f aca="false">MAX(1,ROUND(M12*ตั้งค่า!$C$26*(1-ตั้งค่า!$C$27),0))</f>
        <v>66</v>
      </c>
      <c r="O12" s="25" t="n">
        <f aca="false">MAX(1,ROUND(M12*ตั้งค่า!$C$26*(1+ตั้งค่า!$C$27),0))</f>
        <v>99</v>
      </c>
      <c r="P12" s="25" t="n">
        <f aca="false">ROUNDUP(B12/M12,0)</f>
        <v>47</v>
      </c>
      <c r="Q12" s="27" t="n">
        <f aca="false">P12*J12/60</f>
        <v>5.32666666666667</v>
      </c>
      <c r="R12" s="26" t="n">
        <f aca="false">R11+Q11/60</f>
        <v>0.241777777777778</v>
      </c>
    </row>
    <row r="13" customFormat="false" ht="15" hidden="false" customHeight="false" outlineLevel="0" collapsed="false">
      <c r="A13" s="3" t="n">
        <v>9</v>
      </c>
      <c r="B13" s="25" t="n">
        <f aca="false">ROUND(ตั้งค่า!$C$24*A13^ตั้งค่า!$C$25,0)</f>
        <v>10935</v>
      </c>
      <c r="C13" s="25" t="n">
        <f aca="false">C12+B12</f>
        <v>19440</v>
      </c>
      <c r="D13" s="26" t="n">
        <f aca="false">ROUND((ตั้งค่า!$C$12+ตั้งค่า!$C$13*A13)*(1+ตั้งค่า!$C$14)^(A13-1),1)</f>
        <v>32.8</v>
      </c>
      <c r="E13" s="25" t="n">
        <f aca="false">ROUND((ตั้งค่า!$C$15+ตั้งค่า!$C$16*A13)*(1+ตั้งค่า!$C$17)^(A13-1),0)</f>
        <v>203</v>
      </c>
      <c r="F13" s="25" t="n">
        <f aca="false">ROUND(D13*ตั้งค่า!$C$22,0)</f>
        <v>2</v>
      </c>
      <c r="G13" s="26" t="n">
        <f aca="false">MAX(1,D13-F13)</f>
        <v>30.8</v>
      </c>
      <c r="H13" s="25" t="n">
        <f aca="false">ROUND(ตั้งค่า!$C$20*G13,0)</f>
        <v>123</v>
      </c>
      <c r="I13" s="25" t="n">
        <f aca="false">MAX(1,ROUND(E13/ตั้งค่า!$C$23,0))</f>
        <v>17</v>
      </c>
      <c r="J13" s="27" t="n">
        <f aca="false">ตั้งค่า!$C$20*ตั้งค่า!$C$18+ตั้งค่า!$C$21</f>
        <v>6.8</v>
      </c>
      <c r="K13" s="27" t="n">
        <f aca="false">ตั้งค่า!$C$10*A13^ตั้งค่า!$C$8+ตั้งค่า!$C$9</f>
        <v>6.50585838282321</v>
      </c>
      <c r="L13" s="25" t="n">
        <f aca="false">K13*60/J13</f>
        <v>57.4046327896165</v>
      </c>
      <c r="M13" s="25" t="n">
        <f aca="false">MAX(1,ROUND(B13/L13,0))</f>
        <v>190</v>
      </c>
      <c r="N13" s="25" t="n">
        <f aca="false">MAX(1,ROUND(M13*ตั้งค่า!$C$26*(1-ตั้งค่า!$C$27),0))</f>
        <v>76</v>
      </c>
      <c r="O13" s="25" t="n">
        <f aca="false">MAX(1,ROUND(M13*ตั้งค่า!$C$26*(1+ตั้งค่า!$C$27),0))</f>
        <v>114</v>
      </c>
      <c r="P13" s="25" t="n">
        <f aca="false">ROUNDUP(B13/M13,0)</f>
        <v>58</v>
      </c>
      <c r="Q13" s="27" t="n">
        <f aca="false">P13*J13/60</f>
        <v>6.57333333333333</v>
      </c>
      <c r="R13" s="26" t="n">
        <f aca="false">R12+Q12/60</f>
        <v>0.330555555555556</v>
      </c>
    </row>
    <row r="14" customFormat="false" ht="15" hidden="false" customHeight="false" outlineLevel="0" collapsed="false">
      <c r="A14" s="3" t="n">
        <v>10</v>
      </c>
      <c r="B14" s="25" t="n">
        <f aca="false">ROUND(ตั้งค่า!$C$24*A14^ตั้งค่า!$C$25,0)</f>
        <v>15000</v>
      </c>
      <c r="C14" s="25" t="n">
        <f aca="false">C13+B13</f>
        <v>30375</v>
      </c>
      <c r="D14" s="26" t="n">
        <f aca="false">ROUND((ตั้งค่า!$C$12+ตั้งค่า!$C$13*A14)*(1+ตั้งค่า!$C$14)^(A14-1),1)</f>
        <v>35.9</v>
      </c>
      <c r="E14" s="25" t="n">
        <f aca="false">ROUND((ตั้งค่า!$C$15+ตั้งค่า!$C$16*A14)*(1+ตั้งค่า!$C$17)^(A14-1),0)</f>
        <v>217</v>
      </c>
      <c r="F14" s="25" t="n">
        <f aca="false">ROUND(D14*ตั้งค่า!$C$22,0)</f>
        <v>2</v>
      </c>
      <c r="G14" s="26" t="n">
        <f aca="false">MAX(1,D14-F14)</f>
        <v>33.9</v>
      </c>
      <c r="H14" s="25" t="n">
        <f aca="false">ROUND(ตั้งค่า!$C$20*G14,0)</f>
        <v>136</v>
      </c>
      <c r="I14" s="25" t="n">
        <f aca="false">MAX(1,ROUND(E14/ตั้งค่า!$C$23,0))</f>
        <v>18</v>
      </c>
      <c r="J14" s="27" t="n">
        <f aca="false">ตั้งค่า!$C$20*ตั้งค่า!$C$18+ตั้งค่า!$C$21</f>
        <v>6.8</v>
      </c>
      <c r="K14" s="27" t="n">
        <f aca="false">ตั้งค่า!$C$10*A14^ตั้งค่า!$C$8+ตั้งค่า!$C$9</f>
        <v>7.89118318867063</v>
      </c>
      <c r="L14" s="25" t="n">
        <f aca="false">K14*60/J14</f>
        <v>69.6280869588585</v>
      </c>
      <c r="M14" s="25" t="n">
        <f aca="false">MAX(1,ROUND(B14/L14,0))</f>
        <v>215</v>
      </c>
      <c r="N14" s="25" t="n">
        <f aca="false">MAX(1,ROUND(M14*ตั้งค่า!$C$26*(1-ตั้งค่า!$C$27),0))</f>
        <v>86</v>
      </c>
      <c r="O14" s="25" t="n">
        <f aca="false">MAX(1,ROUND(M14*ตั้งค่า!$C$26*(1+ตั้งค่า!$C$27),0))</f>
        <v>129</v>
      </c>
      <c r="P14" s="25" t="n">
        <f aca="false">ROUNDUP(B14/M14,0)</f>
        <v>70</v>
      </c>
      <c r="Q14" s="27" t="n">
        <f aca="false">P14*J14/60</f>
        <v>7.93333333333333</v>
      </c>
      <c r="R14" s="26" t="n">
        <f aca="false">R13+Q13/60</f>
        <v>0.440111111111111</v>
      </c>
    </row>
    <row r="15" customFormat="false" ht="15" hidden="false" customHeight="false" outlineLevel="0" collapsed="false">
      <c r="A15" s="3" t="n">
        <v>11</v>
      </c>
      <c r="B15" s="25" t="n">
        <f aca="false">ROUND(ตั้งค่า!$C$24*A15^ตั้งค่า!$C$25,0)</f>
        <v>19965</v>
      </c>
      <c r="C15" s="25" t="n">
        <f aca="false">C14+B14</f>
        <v>45375</v>
      </c>
      <c r="D15" s="26" t="n">
        <f aca="false">ROUND((ตั้งค่า!$C$12+ตั้งค่า!$C$13*A15)*(1+ตั้งค่า!$C$14)^(A15-1),1)</f>
        <v>39</v>
      </c>
      <c r="E15" s="25" t="n">
        <f aca="false">ROUND((ตั้งค่า!$C$15+ตั้งค่า!$C$16*A15)*(1+ตั้งค่า!$C$17)^(A15-1),0)</f>
        <v>232</v>
      </c>
      <c r="F15" s="25" t="n">
        <f aca="false">ROUND(D15*ตั้งค่า!$C$22,0)</f>
        <v>2</v>
      </c>
      <c r="G15" s="26" t="n">
        <f aca="false">MAX(1,D15-F15)</f>
        <v>37</v>
      </c>
      <c r="H15" s="25" t="n">
        <f aca="false">ROUND(ตั้งค่า!$C$20*G15,0)</f>
        <v>148</v>
      </c>
      <c r="I15" s="25" t="n">
        <f aca="false">MAX(1,ROUND(E15/ตั้งค่า!$C$23,0))</f>
        <v>19</v>
      </c>
      <c r="J15" s="27" t="n">
        <f aca="false">ตั้งค่า!$C$20*ตั้งค่า!$C$18+ตั้งค่า!$C$21</f>
        <v>6.8</v>
      </c>
      <c r="K15" s="27" t="n">
        <f aca="false">ตั้งค่า!$C$10*A15^ตั้งค่า!$C$8+ตั้งค่า!$C$9</f>
        <v>9.42233165829146</v>
      </c>
      <c r="L15" s="25" t="n">
        <f aca="false">K15*60/J15</f>
        <v>83.1382205143364</v>
      </c>
      <c r="M15" s="25" t="n">
        <f aca="false">MAX(1,ROUND(B15/L15,0))</f>
        <v>240</v>
      </c>
      <c r="N15" s="25" t="n">
        <f aca="false">MAX(1,ROUND(M15*ตั้งค่า!$C$26*(1-ตั้งค่า!$C$27),0))</f>
        <v>96</v>
      </c>
      <c r="O15" s="25" t="n">
        <f aca="false">MAX(1,ROUND(M15*ตั้งค่า!$C$26*(1+ตั้งค่า!$C$27),0))</f>
        <v>144</v>
      </c>
      <c r="P15" s="25" t="n">
        <f aca="false">ROUNDUP(B15/M15,0)</f>
        <v>84</v>
      </c>
      <c r="Q15" s="27" t="n">
        <f aca="false">P15*J15/60</f>
        <v>9.52</v>
      </c>
      <c r="R15" s="26" t="n">
        <f aca="false">R14+Q14/60</f>
        <v>0.572333333333333</v>
      </c>
    </row>
    <row r="16" customFormat="false" ht="15" hidden="false" customHeight="false" outlineLevel="0" collapsed="false">
      <c r="A16" s="3" t="n">
        <v>12</v>
      </c>
      <c r="B16" s="25" t="n">
        <f aca="false">ROUND(ตั้งค่า!$C$24*A16^ตั้งค่า!$C$25,0)</f>
        <v>25920</v>
      </c>
      <c r="C16" s="25" t="n">
        <f aca="false">C15+B15</f>
        <v>65340</v>
      </c>
      <c r="D16" s="26" t="n">
        <f aca="false">ROUND((ตั้งค่า!$C$12+ตั้งค่า!$C$13*A16)*(1+ตั้งค่า!$C$14)^(A16-1),1)</f>
        <v>42.3</v>
      </c>
      <c r="E16" s="25" t="n">
        <f aca="false">ROUND((ตั้งค่า!$C$15+ตั้งค่า!$C$16*A16)*(1+ตั้งค่า!$C$17)^(A16-1),0)</f>
        <v>247</v>
      </c>
      <c r="F16" s="25" t="n">
        <f aca="false">ROUND(D16*ตั้งค่า!$C$22,0)</f>
        <v>2</v>
      </c>
      <c r="G16" s="26" t="n">
        <f aca="false">MAX(1,D16-F16)</f>
        <v>40.3</v>
      </c>
      <c r="H16" s="25" t="n">
        <f aca="false">ROUND(ตั้งค่า!$C$20*G16,0)</f>
        <v>161</v>
      </c>
      <c r="I16" s="25" t="n">
        <f aca="false">MAX(1,ROUND(E16/ตั้งค่า!$C$23,0))</f>
        <v>21</v>
      </c>
      <c r="J16" s="27" t="n">
        <f aca="false">ตั้งค่า!$C$20*ตั้งค่า!$C$18+ตั้งค่า!$C$21</f>
        <v>6.8</v>
      </c>
      <c r="K16" s="27" t="n">
        <f aca="false">ตั้งค่า!$C$10*A16^ตั้งค่า!$C$8+ตั้งค่า!$C$9</f>
        <v>11.0993037916857</v>
      </c>
      <c r="L16" s="25" t="n">
        <f aca="false">K16*60/J16</f>
        <v>97.9350334560503</v>
      </c>
      <c r="M16" s="25" t="n">
        <f aca="false">MAX(1,ROUND(B16/L16,0))</f>
        <v>265</v>
      </c>
      <c r="N16" s="25" t="n">
        <f aca="false">MAX(1,ROUND(M16*ตั้งค่า!$C$26*(1-ตั้งค่า!$C$27),0))</f>
        <v>106</v>
      </c>
      <c r="O16" s="25" t="n">
        <f aca="false">MAX(1,ROUND(M16*ตั้งค่า!$C$26*(1+ตั้งค่า!$C$27),0))</f>
        <v>159</v>
      </c>
      <c r="P16" s="25" t="n">
        <f aca="false">ROUNDUP(B16/M16,0)</f>
        <v>98</v>
      </c>
      <c r="Q16" s="27" t="n">
        <f aca="false">P16*J16/60</f>
        <v>11.1066666666667</v>
      </c>
      <c r="R16" s="26" t="n">
        <f aca="false">R15+Q15/60</f>
        <v>0.731</v>
      </c>
    </row>
    <row r="17" customFormat="false" ht="15" hidden="false" customHeight="false" outlineLevel="0" collapsed="false">
      <c r="A17" s="3" t="n">
        <v>13</v>
      </c>
      <c r="B17" s="25" t="n">
        <f aca="false">ROUND(ตั้งค่า!$C$24*A17^ตั้งค่า!$C$25,0)</f>
        <v>32955</v>
      </c>
      <c r="C17" s="25" t="n">
        <f aca="false">C16+B16</f>
        <v>91260</v>
      </c>
      <c r="D17" s="26" t="n">
        <f aca="false">ROUND((ตั้งค่า!$C$12+ตั้งค่า!$C$13*A17)*(1+ตั้งค่า!$C$14)^(A17-1),1)</f>
        <v>45.7</v>
      </c>
      <c r="E17" s="25" t="n">
        <f aca="false">ROUND((ตั้งค่า!$C$15+ตั้งค่า!$C$16*A17)*(1+ตั้งค่า!$C$17)^(A17-1),0)</f>
        <v>263</v>
      </c>
      <c r="F17" s="25" t="n">
        <f aca="false">ROUND(D17*ตั้งค่า!$C$22,0)</f>
        <v>2</v>
      </c>
      <c r="G17" s="26" t="n">
        <f aca="false">MAX(1,D17-F17)</f>
        <v>43.7</v>
      </c>
      <c r="H17" s="25" t="n">
        <f aca="false">ROUND(ตั้งค่า!$C$20*G17,0)</f>
        <v>175</v>
      </c>
      <c r="I17" s="25" t="n">
        <f aca="false">MAX(1,ROUND(E17/ตั้งค่า!$C$23,0))</f>
        <v>22</v>
      </c>
      <c r="J17" s="27" t="n">
        <f aca="false">ตั้งค่า!$C$20*ตั้งค่า!$C$18+ตั้งค่า!$C$21</f>
        <v>6.8</v>
      </c>
      <c r="K17" s="27" t="n">
        <f aca="false">ตั้งค่า!$C$10*A17^ตั้งค่า!$C$8+ตั้งค่า!$C$9</f>
        <v>12.9220995888534</v>
      </c>
      <c r="L17" s="25" t="n">
        <f aca="false">K17*60/J17</f>
        <v>114.018525784</v>
      </c>
      <c r="M17" s="25" t="n">
        <f aca="false">MAX(1,ROUND(B17/L17,0))</f>
        <v>289</v>
      </c>
      <c r="N17" s="25" t="n">
        <f aca="false">MAX(1,ROUND(M17*ตั้งค่า!$C$26*(1-ตั้งค่า!$C$27),0))</f>
        <v>116</v>
      </c>
      <c r="O17" s="25" t="n">
        <f aca="false">MAX(1,ROUND(M17*ตั้งค่า!$C$26*(1+ตั้งค่า!$C$27),0))</f>
        <v>173</v>
      </c>
      <c r="P17" s="25" t="n">
        <f aca="false">ROUNDUP(B17/M17,0)</f>
        <v>115</v>
      </c>
      <c r="Q17" s="27" t="n">
        <f aca="false">P17*J17/60</f>
        <v>13.0333333333333</v>
      </c>
      <c r="R17" s="26" t="n">
        <f aca="false">R16+Q16/60</f>
        <v>0.916111111111111</v>
      </c>
    </row>
    <row r="18" customFormat="false" ht="15" hidden="false" customHeight="false" outlineLevel="0" collapsed="false">
      <c r="A18" s="3" t="n">
        <v>14</v>
      </c>
      <c r="B18" s="25" t="n">
        <f aca="false">ROUND(ตั้งค่า!$C$24*A18^ตั้งค่า!$C$25,0)</f>
        <v>41160</v>
      </c>
      <c r="C18" s="25" t="n">
        <f aca="false">C17+B17</f>
        <v>124215</v>
      </c>
      <c r="D18" s="26" t="n">
        <f aca="false">ROUND((ตั้งค่า!$C$12+ตั้งค่า!$C$13*A18)*(1+ตั้งค่า!$C$14)^(A18-1),1)</f>
        <v>49.2</v>
      </c>
      <c r="E18" s="25" t="n">
        <f aca="false">ROUND((ตั้งค่า!$C$15+ตั้งค่า!$C$16*A18)*(1+ตั้งค่า!$C$17)^(A18-1),0)</f>
        <v>279</v>
      </c>
      <c r="F18" s="25" t="n">
        <f aca="false">ROUND(D18*ตั้งค่า!$C$22,0)</f>
        <v>2</v>
      </c>
      <c r="G18" s="26" t="n">
        <f aca="false">MAX(1,D18-F18)</f>
        <v>47.2</v>
      </c>
      <c r="H18" s="25" t="n">
        <f aca="false">ROUND(ตั้งค่า!$C$20*G18,0)</f>
        <v>189</v>
      </c>
      <c r="I18" s="25" t="n">
        <f aca="false">MAX(1,ROUND(E18/ตั้งค่า!$C$23,0))</f>
        <v>23</v>
      </c>
      <c r="J18" s="27" t="n">
        <f aca="false">ตั้งค่า!$C$20*ตั้งค่า!$C$18+ตั้งค่า!$C$21</f>
        <v>6.8</v>
      </c>
      <c r="K18" s="27" t="n">
        <f aca="false">ตั้งค่า!$C$10*A18^ตั้งค่า!$C$8+ตั้งค่า!$C$9</f>
        <v>14.8907190497944</v>
      </c>
      <c r="L18" s="25" t="n">
        <f aca="false">K18*60/J18</f>
        <v>131.388697498186</v>
      </c>
      <c r="M18" s="25" t="n">
        <f aca="false">MAX(1,ROUND(B18/L18,0))</f>
        <v>313</v>
      </c>
      <c r="N18" s="25" t="n">
        <f aca="false">MAX(1,ROUND(M18*ตั้งค่า!$C$26*(1-ตั้งค่า!$C$27),0))</f>
        <v>125</v>
      </c>
      <c r="O18" s="25" t="n">
        <f aca="false">MAX(1,ROUND(M18*ตั้งค่า!$C$26*(1+ตั้งค่า!$C$27),0))</f>
        <v>188</v>
      </c>
      <c r="P18" s="25" t="n">
        <f aca="false">ROUNDUP(B18/M18,0)</f>
        <v>132</v>
      </c>
      <c r="Q18" s="27" t="n">
        <f aca="false">P18*J18/60</f>
        <v>14.96</v>
      </c>
      <c r="R18" s="26" t="n">
        <f aca="false">R17+Q17/60</f>
        <v>1.13333333333333</v>
      </c>
    </row>
    <row r="19" customFormat="false" ht="15" hidden="false" customHeight="false" outlineLevel="0" collapsed="false">
      <c r="A19" s="3" t="n">
        <v>15</v>
      </c>
      <c r="B19" s="25" t="n">
        <f aca="false">ROUND(ตั้งค่า!$C$24*A19^ตั้งค่า!$C$25,0)</f>
        <v>50625</v>
      </c>
      <c r="C19" s="25" t="n">
        <f aca="false">C18+B18</f>
        <v>165375</v>
      </c>
      <c r="D19" s="26" t="n">
        <f aca="false">ROUND((ตั้งค่า!$C$12+ตั้งค่า!$C$13*A19)*(1+ตั้งค่า!$C$14)^(A19-1),1)</f>
        <v>52.8</v>
      </c>
      <c r="E19" s="25" t="n">
        <f aca="false">ROUND((ตั้งค่า!$C$15+ตั้งค่า!$C$16*A19)*(1+ตั้งค่า!$C$17)^(A19-1),0)</f>
        <v>296</v>
      </c>
      <c r="F19" s="25" t="n">
        <f aca="false">ROUND(D19*ตั้งค่า!$C$22,0)</f>
        <v>3</v>
      </c>
      <c r="G19" s="26" t="n">
        <f aca="false">MAX(1,D19-F19)</f>
        <v>49.8</v>
      </c>
      <c r="H19" s="25" t="n">
        <f aca="false">ROUND(ตั้งค่า!$C$20*G19,0)</f>
        <v>199</v>
      </c>
      <c r="I19" s="25" t="n">
        <f aca="false">MAX(1,ROUND(E19/ตั้งค่า!$C$23,0))</f>
        <v>25</v>
      </c>
      <c r="J19" s="27" t="n">
        <f aca="false">ตั้งค่า!$C$20*ตั้งค่า!$C$18+ตั้งค่า!$C$21</f>
        <v>6.8</v>
      </c>
      <c r="K19" s="27" t="n">
        <f aca="false">ตั้งค่า!$C$10*A19^ตั้งค่า!$C$8+ตั้งค่า!$C$9</f>
        <v>17.0051621745089</v>
      </c>
      <c r="L19" s="25" t="n">
        <f aca="false">K19*60/J19</f>
        <v>150.045548598608</v>
      </c>
      <c r="M19" s="25" t="n">
        <f aca="false">MAX(1,ROUND(B19/L19,0))</f>
        <v>337</v>
      </c>
      <c r="N19" s="25" t="n">
        <f aca="false">MAX(1,ROUND(M19*ตั้งค่า!$C$26*(1-ตั้งค่า!$C$27),0))</f>
        <v>135</v>
      </c>
      <c r="O19" s="25" t="n">
        <f aca="false">MAX(1,ROUND(M19*ตั้งค่า!$C$26*(1+ตั้งค่า!$C$27),0))</f>
        <v>202</v>
      </c>
      <c r="P19" s="25" t="n">
        <f aca="false">ROUNDUP(B19/M19,0)</f>
        <v>151</v>
      </c>
      <c r="Q19" s="27" t="n">
        <f aca="false">P19*J19/60</f>
        <v>17.1133333333333</v>
      </c>
      <c r="R19" s="26" t="n">
        <f aca="false">R18+Q18/60</f>
        <v>1.38266666666667</v>
      </c>
    </row>
    <row r="20" customFormat="false" ht="15" hidden="false" customHeight="false" outlineLevel="0" collapsed="false">
      <c r="A20" s="3" t="n">
        <v>16</v>
      </c>
      <c r="B20" s="25" t="n">
        <f aca="false">ROUND(ตั้งค่า!$C$24*A20^ตั้งค่า!$C$25,0)</f>
        <v>61440</v>
      </c>
      <c r="C20" s="25" t="n">
        <f aca="false">C19+B19</f>
        <v>216000</v>
      </c>
      <c r="D20" s="26" t="n">
        <f aca="false">ROUND((ตั้งค่า!$C$12+ตั้งค่า!$C$13*A20)*(1+ตั้งค่า!$C$14)^(A20-1),1)</f>
        <v>56.5</v>
      </c>
      <c r="E20" s="25" t="n">
        <f aca="false">ROUND((ตั้งค่า!$C$15+ตั้งค่า!$C$16*A20)*(1+ตั้งค่า!$C$17)^(A20-1),0)</f>
        <v>313</v>
      </c>
      <c r="F20" s="25" t="n">
        <f aca="false">ROUND(D20*ตั้งค่า!$C$22,0)</f>
        <v>3</v>
      </c>
      <c r="G20" s="26" t="n">
        <f aca="false">MAX(1,D20-F20)</f>
        <v>53.5</v>
      </c>
      <c r="H20" s="25" t="n">
        <f aca="false">ROUND(ตั้งค่า!$C$20*G20,0)</f>
        <v>214</v>
      </c>
      <c r="I20" s="25" t="n">
        <f aca="false">MAX(1,ROUND(E20/ตั้งค่า!$C$23,0))</f>
        <v>26</v>
      </c>
      <c r="J20" s="27" t="n">
        <f aca="false">ตั้งค่า!$C$20*ตั้งค่า!$C$18+ตั้งค่า!$C$21</f>
        <v>6.8</v>
      </c>
      <c r="K20" s="27" t="n">
        <f aca="false">ตั้งค่า!$C$10*A20^ตั้งค่า!$C$8+ตั้งค่า!$C$9</f>
        <v>19.2654289629968</v>
      </c>
      <c r="L20" s="25" t="n">
        <f aca="false">K20*60/J20</f>
        <v>169.989079085266</v>
      </c>
      <c r="M20" s="25" t="n">
        <f aca="false">MAX(1,ROUND(B20/L20,0))</f>
        <v>361</v>
      </c>
      <c r="N20" s="25" t="n">
        <f aca="false">MAX(1,ROUND(M20*ตั้งค่า!$C$26*(1-ตั้งค่า!$C$27),0))</f>
        <v>144</v>
      </c>
      <c r="O20" s="25" t="n">
        <f aca="false">MAX(1,ROUND(M20*ตั้งค่า!$C$26*(1+ตั้งค่า!$C$27),0))</f>
        <v>217</v>
      </c>
      <c r="P20" s="25" t="n">
        <f aca="false">ROUNDUP(B20/M20,0)</f>
        <v>171</v>
      </c>
      <c r="Q20" s="27" t="n">
        <f aca="false">P20*J20/60</f>
        <v>19.38</v>
      </c>
      <c r="R20" s="26" t="n">
        <f aca="false">R19+Q19/60</f>
        <v>1.66788888888889</v>
      </c>
    </row>
    <row r="21" customFormat="false" ht="15" hidden="false" customHeight="false" outlineLevel="0" collapsed="false">
      <c r="A21" s="3" t="n">
        <v>17</v>
      </c>
      <c r="B21" s="25" t="n">
        <f aca="false">ROUND(ตั้งค่า!$C$24*A21^ตั้งค่า!$C$25,0)</f>
        <v>73695</v>
      </c>
      <c r="C21" s="25" t="n">
        <f aca="false">C20+B20</f>
        <v>277440</v>
      </c>
      <c r="D21" s="26" t="n">
        <f aca="false">ROUND((ตั้งค่า!$C$12+ตั้งค่า!$C$13*A21)*(1+ตั้งค่า!$C$14)^(A21-1),1)</f>
        <v>60.4</v>
      </c>
      <c r="E21" s="25" t="n">
        <f aca="false">ROUND((ตั้งค่า!$C$15+ตั้งค่า!$C$16*A21)*(1+ตั้งค่า!$C$17)^(A21-1),0)</f>
        <v>330</v>
      </c>
      <c r="F21" s="25" t="n">
        <f aca="false">ROUND(D21*ตั้งค่า!$C$22,0)</f>
        <v>3</v>
      </c>
      <c r="G21" s="26" t="n">
        <f aca="false">MAX(1,D21-F21)</f>
        <v>57.4</v>
      </c>
      <c r="H21" s="25" t="n">
        <f aca="false">ROUND(ตั้งค่า!$C$20*G21,0)</f>
        <v>230</v>
      </c>
      <c r="I21" s="25" t="n">
        <f aca="false">MAX(1,ROUND(E21/ตั้งค่า!$C$23,0))</f>
        <v>28</v>
      </c>
      <c r="J21" s="27" t="n">
        <f aca="false">ตั้งค่า!$C$20*ตั้งค่า!$C$18+ตั้งค่า!$C$21</f>
        <v>6.8</v>
      </c>
      <c r="K21" s="27" t="n">
        <f aca="false">ตั้งค่า!$C$10*A21^ตั้งค่า!$C$8+ตั้งค่า!$C$9</f>
        <v>21.6715194152581</v>
      </c>
      <c r="L21" s="25" t="n">
        <f aca="false">K21*60/J21</f>
        <v>191.21928895816</v>
      </c>
      <c r="M21" s="25" t="n">
        <f aca="false">MAX(1,ROUND(B21/L21,0))</f>
        <v>385</v>
      </c>
      <c r="N21" s="25" t="n">
        <f aca="false">MAX(1,ROUND(M21*ตั้งค่า!$C$26*(1-ตั้งค่า!$C$27),0))</f>
        <v>154</v>
      </c>
      <c r="O21" s="25" t="n">
        <f aca="false">MAX(1,ROUND(M21*ตั้งค่า!$C$26*(1+ตั้งค่า!$C$27),0))</f>
        <v>231</v>
      </c>
      <c r="P21" s="25" t="n">
        <f aca="false">ROUNDUP(B21/M21,0)</f>
        <v>192</v>
      </c>
      <c r="Q21" s="27" t="n">
        <f aca="false">P21*J21/60</f>
        <v>21.76</v>
      </c>
      <c r="R21" s="26" t="n">
        <f aca="false">R20+Q20/60</f>
        <v>1.99088888888889</v>
      </c>
    </row>
    <row r="22" customFormat="false" ht="15" hidden="false" customHeight="false" outlineLevel="0" collapsed="false">
      <c r="A22" s="3" t="n">
        <v>18</v>
      </c>
      <c r="B22" s="25" t="n">
        <f aca="false">ROUND(ตั้งค่า!$C$24*A22^ตั้งค่า!$C$25,0)</f>
        <v>87480</v>
      </c>
      <c r="C22" s="25" t="n">
        <f aca="false">C21+B21</f>
        <v>351135</v>
      </c>
      <c r="D22" s="26" t="n">
        <f aca="false">ROUND((ตั้งค่า!$C$12+ตั้งค่า!$C$13*A22)*(1+ตั้งค่า!$C$14)^(A22-1),1)</f>
        <v>64.4</v>
      </c>
      <c r="E22" s="25" t="n">
        <f aca="false">ROUND((ตั้งค่า!$C$15+ตั้งค่า!$C$16*A22)*(1+ตั้งค่า!$C$17)^(A22-1),0)</f>
        <v>348</v>
      </c>
      <c r="F22" s="25" t="n">
        <f aca="false">ROUND(D22*ตั้งค่า!$C$22,0)</f>
        <v>3</v>
      </c>
      <c r="G22" s="26" t="n">
        <f aca="false">MAX(1,D22-F22)</f>
        <v>61.4</v>
      </c>
      <c r="H22" s="25" t="n">
        <f aca="false">ROUND(ตั้งค่า!$C$20*G22,0)</f>
        <v>246</v>
      </c>
      <c r="I22" s="25" t="n">
        <f aca="false">MAX(1,ROUND(E22/ตั้งค่า!$C$23,0))</f>
        <v>29</v>
      </c>
      <c r="J22" s="27" t="n">
        <f aca="false">ตั้งค่า!$C$20*ตั้งค่า!$C$18+ตั้งค่า!$C$21</f>
        <v>6.8</v>
      </c>
      <c r="K22" s="27" t="n">
        <f aca="false">ตั้งค่า!$C$10*A22^ตั้งค่า!$C$8+ตั้งค่า!$C$9</f>
        <v>24.2234335312928</v>
      </c>
      <c r="L22" s="25" t="n">
        <f aca="false">K22*60/J22</f>
        <v>213.73617821729</v>
      </c>
      <c r="M22" s="25" t="n">
        <f aca="false">MAX(1,ROUND(B22/L22,0))</f>
        <v>409</v>
      </c>
      <c r="N22" s="25" t="n">
        <f aca="false">MAX(1,ROUND(M22*ตั้งค่า!$C$26*(1-ตั้งค่า!$C$27),0))</f>
        <v>164</v>
      </c>
      <c r="O22" s="25" t="n">
        <f aca="false">MAX(1,ROUND(M22*ตั้งค่า!$C$26*(1+ตั้งค่า!$C$27),0))</f>
        <v>245</v>
      </c>
      <c r="P22" s="25" t="n">
        <f aca="false">ROUNDUP(B22/M22,0)</f>
        <v>214</v>
      </c>
      <c r="Q22" s="27" t="n">
        <f aca="false">P22*J22/60</f>
        <v>24.2533333333333</v>
      </c>
      <c r="R22" s="26" t="n">
        <f aca="false">R21+Q21/60</f>
        <v>2.35355555555556</v>
      </c>
    </row>
    <row r="23" customFormat="false" ht="15" hidden="false" customHeight="false" outlineLevel="0" collapsed="false">
      <c r="A23" s="3" t="n">
        <v>19</v>
      </c>
      <c r="B23" s="25" t="n">
        <f aca="false">ROUND(ตั้งค่า!$C$24*A23^ตั้งค่า!$C$25,0)</f>
        <v>102885</v>
      </c>
      <c r="C23" s="25" t="n">
        <f aca="false">C22+B22</f>
        <v>438615</v>
      </c>
      <c r="D23" s="26" t="n">
        <f aca="false">ROUND((ตั้งค่า!$C$12+ตั้งค่า!$C$13*A23)*(1+ตั้งค่า!$C$14)^(A23-1),1)</f>
        <v>68.6</v>
      </c>
      <c r="E23" s="25" t="n">
        <f aca="false">ROUND((ตั้งค่า!$C$15+ตั้งค่า!$C$16*A23)*(1+ตั้งค่า!$C$17)^(A23-1),0)</f>
        <v>366</v>
      </c>
      <c r="F23" s="25" t="n">
        <f aca="false">ROUND(D23*ตั้งค่า!$C$22,0)</f>
        <v>3</v>
      </c>
      <c r="G23" s="26" t="n">
        <f aca="false">MAX(1,D23-F23)</f>
        <v>65.6</v>
      </c>
      <c r="H23" s="25" t="n">
        <f aca="false">ROUND(ตั้งค่า!$C$20*G23,0)</f>
        <v>262</v>
      </c>
      <c r="I23" s="25" t="n">
        <f aca="false">MAX(1,ROUND(E23/ตั้งค่า!$C$23,0))</f>
        <v>31</v>
      </c>
      <c r="J23" s="27" t="n">
        <f aca="false">ตั้งค่า!$C$20*ตั้งค่า!$C$18+ตั้งค่า!$C$21</f>
        <v>6.8</v>
      </c>
      <c r="K23" s="27" t="n">
        <f aca="false">ตั้งค่า!$C$10*A23^ตั้งค่า!$C$8+ตั้งค่า!$C$9</f>
        <v>26.921171311101</v>
      </c>
      <c r="L23" s="25" t="n">
        <f aca="false">K23*60/J23</f>
        <v>237.539746862656</v>
      </c>
      <c r="M23" s="25" t="n">
        <f aca="false">MAX(1,ROUND(B23/L23,0))</f>
        <v>433</v>
      </c>
      <c r="N23" s="25" t="n">
        <f aca="false">MAX(1,ROUND(M23*ตั้งค่า!$C$26*(1-ตั้งค่า!$C$27),0))</f>
        <v>173</v>
      </c>
      <c r="O23" s="25" t="n">
        <f aca="false">MAX(1,ROUND(M23*ตั้งค่า!$C$26*(1+ตั้งค่า!$C$27),0))</f>
        <v>260</v>
      </c>
      <c r="P23" s="25" t="n">
        <f aca="false">ROUNDUP(B23/M23,0)</f>
        <v>238</v>
      </c>
      <c r="Q23" s="27" t="n">
        <f aca="false">P23*J23/60</f>
        <v>26.9733333333333</v>
      </c>
      <c r="R23" s="26" t="n">
        <f aca="false">R22+Q22/60</f>
        <v>2.75777777777778</v>
      </c>
    </row>
    <row r="24" customFormat="false" ht="15" hidden="false" customHeight="false" outlineLevel="0" collapsed="false">
      <c r="A24" s="3" t="n">
        <v>20</v>
      </c>
      <c r="B24" s="25" t="n">
        <f aca="false">ROUND(ตั้งค่า!$C$24*A24^ตั้งค่า!$C$25,0)</f>
        <v>120000</v>
      </c>
      <c r="C24" s="25" t="n">
        <f aca="false">C23+B23</f>
        <v>541500</v>
      </c>
      <c r="D24" s="26" t="n">
        <f aca="false">ROUND((ตั้งค่า!$C$12+ตั้งค่า!$C$13*A24)*(1+ตั้งค่า!$C$14)^(A24-1),1)</f>
        <v>72.8</v>
      </c>
      <c r="E24" s="25" t="n">
        <f aca="false">ROUND((ตั้งค่า!$C$15+ตั้งค่า!$C$16*A24)*(1+ตั้งค่า!$C$17)^(A24-1),0)</f>
        <v>385</v>
      </c>
      <c r="F24" s="25" t="n">
        <f aca="false">ROUND(D24*ตั้งค่า!$C$22,0)</f>
        <v>4</v>
      </c>
      <c r="G24" s="26" t="n">
        <f aca="false">MAX(1,D24-F24)</f>
        <v>68.8</v>
      </c>
      <c r="H24" s="25" t="n">
        <f aca="false">ROUND(ตั้งค่า!$C$20*G24,0)</f>
        <v>275</v>
      </c>
      <c r="I24" s="25" t="n">
        <f aca="false">MAX(1,ROUND(E24/ตั้งค่า!$C$23,0))</f>
        <v>32</v>
      </c>
      <c r="J24" s="27" t="n">
        <f aca="false">ตั้งค่า!$C$20*ตั้งค่า!$C$18+ตั้งค่า!$C$21</f>
        <v>6.8</v>
      </c>
      <c r="K24" s="27" t="n">
        <f aca="false">ตั้งค่า!$C$10*A24^ตั้งค่า!$C$8+ตั้งค่า!$C$9</f>
        <v>29.7647327546825</v>
      </c>
      <c r="L24" s="25" t="n">
        <f aca="false">K24*60/J24</f>
        <v>262.629994894257</v>
      </c>
      <c r="M24" s="25" t="n">
        <f aca="false">MAX(1,ROUND(B24/L24,0))</f>
        <v>457</v>
      </c>
      <c r="N24" s="25" t="n">
        <f aca="false">MAX(1,ROUND(M24*ตั้งค่า!$C$26*(1-ตั้งค่า!$C$27),0))</f>
        <v>183</v>
      </c>
      <c r="O24" s="25" t="n">
        <f aca="false">MAX(1,ROUND(M24*ตั้งค่า!$C$26*(1+ตั้งค่า!$C$27),0))</f>
        <v>274</v>
      </c>
      <c r="P24" s="25" t="n">
        <f aca="false">ROUNDUP(B24/M24,0)</f>
        <v>263</v>
      </c>
      <c r="Q24" s="27" t="n">
        <f aca="false">P24*J24/60</f>
        <v>29.8066666666667</v>
      </c>
      <c r="R24" s="26" t="n">
        <f aca="false">R23+Q23/60</f>
        <v>3.20733333333333</v>
      </c>
    </row>
    <row r="25" customFormat="false" ht="15" hidden="false" customHeight="false" outlineLevel="0" collapsed="false">
      <c r="A25" s="3" t="n">
        <v>21</v>
      </c>
      <c r="B25" s="25" t="n">
        <f aca="false">ROUND(ตั้งค่า!$C$24*A25^ตั้งค่า!$C$25,0)</f>
        <v>138915</v>
      </c>
      <c r="C25" s="25" t="n">
        <f aca="false">C24+B24</f>
        <v>661500</v>
      </c>
      <c r="D25" s="26" t="n">
        <f aca="false">ROUND((ตั้งค่า!$C$12+ตั้งค่า!$C$13*A25)*(1+ตั้งค่า!$C$14)^(A25-1),1)</f>
        <v>77.3</v>
      </c>
      <c r="E25" s="25" t="n">
        <f aca="false">ROUND((ตั้งค่า!$C$15+ตั้งค่า!$C$16*A25)*(1+ตั้งค่า!$C$17)^(A25-1),0)</f>
        <v>404</v>
      </c>
      <c r="F25" s="25" t="n">
        <f aca="false">ROUND(D25*ตั้งค่า!$C$22,0)</f>
        <v>4</v>
      </c>
      <c r="G25" s="26" t="n">
        <f aca="false">MAX(1,D25-F25)</f>
        <v>73.3</v>
      </c>
      <c r="H25" s="25" t="n">
        <f aca="false">ROUND(ตั้งค่า!$C$20*G25,0)</f>
        <v>293</v>
      </c>
      <c r="I25" s="25" t="n">
        <f aca="false">MAX(1,ROUND(E25/ตั้งค่า!$C$23,0))</f>
        <v>34</v>
      </c>
      <c r="J25" s="27" t="n">
        <f aca="false">ตั้งค่า!$C$20*ตั้งค่า!$C$18+ตั้งค่า!$C$21</f>
        <v>6.8</v>
      </c>
      <c r="K25" s="27" t="n">
        <f aca="false">ตั้งค่า!$C$10*A25^ตั้งค่า!$C$8+ตั้งค่า!$C$9</f>
        <v>32.7541178620375</v>
      </c>
      <c r="L25" s="25" t="n">
        <f aca="false">K25*60/J25</f>
        <v>289.006922312095</v>
      </c>
      <c r="M25" s="25" t="n">
        <f aca="false">MAX(1,ROUND(B25/L25,0))</f>
        <v>481</v>
      </c>
      <c r="N25" s="25" t="n">
        <f aca="false">MAX(1,ROUND(M25*ตั้งค่า!$C$26*(1-ตั้งค่า!$C$27),0))</f>
        <v>192</v>
      </c>
      <c r="O25" s="25" t="n">
        <f aca="false">MAX(1,ROUND(M25*ตั้งค่า!$C$26*(1+ตั้งค่า!$C$27),0))</f>
        <v>289</v>
      </c>
      <c r="P25" s="25" t="n">
        <f aca="false">ROUNDUP(B25/M25,0)</f>
        <v>289</v>
      </c>
      <c r="Q25" s="27" t="n">
        <f aca="false">P25*J25/60</f>
        <v>32.7533333333333</v>
      </c>
      <c r="R25" s="26" t="n">
        <f aca="false">R24+Q24/60</f>
        <v>3.70411111111111</v>
      </c>
    </row>
    <row r="26" customFormat="false" ht="15" hidden="false" customHeight="false" outlineLevel="0" collapsed="false">
      <c r="A26" s="3" t="n">
        <v>22</v>
      </c>
      <c r="B26" s="25" t="n">
        <f aca="false">ROUND(ตั้งค่า!$C$24*A26^ตั้งค่า!$C$25,0)</f>
        <v>159720</v>
      </c>
      <c r="C26" s="25" t="n">
        <f aca="false">C25+B25</f>
        <v>800415</v>
      </c>
      <c r="D26" s="26" t="n">
        <f aca="false">ROUND((ตั้งค่า!$C$12+ตั้งค่า!$C$13*A26)*(1+ตั้งค่า!$C$14)^(A26-1),1)</f>
        <v>81.8</v>
      </c>
      <c r="E26" s="25" t="n">
        <f aca="false">ROUND((ตั้งค่า!$C$15+ตั้งค่า!$C$16*A26)*(1+ตั้งค่า!$C$17)^(A26-1),0)</f>
        <v>424</v>
      </c>
      <c r="F26" s="25" t="n">
        <f aca="false">ROUND(D26*ตั้งค่า!$C$22,0)</f>
        <v>4</v>
      </c>
      <c r="G26" s="26" t="n">
        <f aca="false">MAX(1,D26-F26)</f>
        <v>77.8</v>
      </c>
      <c r="H26" s="25" t="n">
        <f aca="false">ROUND(ตั้งค่า!$C$20*G26,0)</f>
        <v>311</v>
      </c>
      <c r="I26" s="25" t="n">
        <f aca="false">MAX(1,ROUND(E26/ตั้งค่า!$C$23,0))</f>
        <v>35</v>
      </c>
      <c r="J26" s="27" t="n">
        <f aca="false">ตั้งค่า!$C$20*ตั้งค่า!$C$18+ตั้งค่า!$C$21</f>
        <v>6.8</v>
      </c>
      <c r="K26" s="27" t="n">
        <f aca="false">ตั้งค่า!$C$10*A26^ตั้งค่า!$C$8+ตั้งค่า!$C$9</f>
        <v>35.8893266331658</v>
      </c>
      <c r="L26" s="25" t="n">
        <f aca="false">K26*60/J26</f>
        <v>316.670529116169</v>
      </c>
      <c r="M26" s="25" t="n">
        <f aca="false">MAX(1,ROUND(B26/L26,0))</f>
        <v>504</v>
      </c>
      <c r="N26" s="25" t="n">
        <f aca="false">MAX(1,ROUND(M26*ตั้งค่า!$C$26*(1-ตั้งค่า!$C$27),0))</f>
        <v>202</v>
      </c>
      <c r="O26" s="25" t="n">
        <f aca="false">MAX(1,ROUND(M26*ตั้งค่า!$C$26*(1+ตั้งค่า!$C$27),0))</f>
        <v>302</v>
      </c>
      <c r="P26" s="25" t="n">
        <f aca="false">ROUNDUP(B26/M26,0)</f>
        <v>317</v>
      </c>
      <c r="Q26" s="27" t="n">
        <f aca="false">P26*J26/60</f>
        <v>35.9266666666667</v>
      </c>
      <c r="R26" s="26" t="n">
        <f aca="false">R25+Q25/60</f>
        <v>4.25</v>
      </c>
    </row>
    <row r="27" customFormat="false" ht="15" hidden="false" customHeight="false" outlineLevel="0" collapsed="false">
      <c r="A27" s="3" t="n">
        <v>23</v>
      </c>
      <c r="B27" s="25" t="n">
        <f aca="false">ROUND(ตั้งค่า!$C$24*A27^ตั้งค่า!$C$25,0)</f>
        <v>182505</v>
      </c>
      <c r="C27" s="25" t="n">
        <f aca="false">C26+B26</f>
        <v>960135</v>
      </c>
      <c r="D27" s="26" t="n">
        <f aca="false">ROUND((ตั้งค่า!$C$12+ตั้งค่า!$C$13*A27)*(1+ตั้งค่า!$C$14)^(A27-1),1)</f>
        <v>86.6</v>
      </c>
      <c r="E27" s="25" t="n">
        <f aca="false">ROUND((ตั้งค่า!$C$15+ตั้งค่า!$C$16*A27)*(1+ตั้งค่า!$C$17)^(A27-1),0)</f>
        <v>444</v>
      </c>
      <c r="F27" s="25" t="n">
        <f aca="false">ROUND(D27*ตั้งค่า!$C$22,0)</f>
        <v>4</v>
      </c>
      <c r="G27" s="26" t="n">
        <f aca="false">MAX(1,D27-F27)</f>
        <v>82.6</v>
      </c>
      <c r="H27" s="25" t="n">
        <f aca="false">ROUND(ตั้งค่า!$C$20*G27,0)</f>
        <v>330</v>
      </c>
      <c r="I27" s="25" t="n">
        <f aca="false">MAX(1,ROUND(E27/ตั้งค่า!$C$23,0))</f>
        <v>37</v>
      </c>
      <c r="J27" s="27" t="n">
        <f aca="false">ตั้งค่า!$C$20*ตั้งค่า!$C$18+ตั้งค่า!$C$21</f>
        <v>6.8</v>
      </c>
      <c r="K27" s="27" t="n">
        <f aca="false">ตั้งค่า!$C$10*A27^ตั้งค่า!$C$8+ตั้งค่า!$C$9</f>
        <v>39.1703590680676</v>
      </c>
      <c r="L27" s="25" t="n">
        <f aca="false">K27*60/J27</f>
        <v>345.620815306479</v>
      </c>
      <c r="M27" s="25" t="n">
        <f aca="false">MAX(1,ROUND(B27/L27,0))</f>
        <v>528</v>
      </c>
      <c r="N27" s="25" t="n">
        <f aca="false">MAX(1,ROUND(M27*ตั้งค่า!$C$26*(1-ตั้งค่า!$C$27),0))</f>
        <v>211</v>
      </c>
      <c r="O27" s="25" t="n">
        <f aca="false">MAX(1,ROUND(M27*ตั้งค่า!$C$26*(1+ตั้งค่า!$C$27),0))</f>
        <v>317</v>
      </c>
      <c r="P27" s="25" t="n">
        <f aca="false">ROUNDUP(B27/M27,0)</f>
        <v>346</v>
      </c>
      <c r="Q27" s="27" t="n">
        <f aca="false">P27*J27/60</f>
        <v>39.2133333333333</v>
      </c>
      <c r="R27" s="26" t="n">
        <f aca="false">R26+Q26/60</f>
        <v>4.84877777777778</v>
      </c>
    </row>
    <row r="28" customFormat="false" ht="15" hidden="false" customHeight="false" outlineLevel="0" collapsed="false">
      <c r="A28" s="3" t="n">
        <v>24</v>
      </c>
      <c r="B28" s="25" t="n">
        <f aca="false">ROUND(ตั้งค่า!$C$24*A28^ตั้งค่า!$C$25,0)</f>
        <v>207360</v>
      </c>
      <c r="C28" s="25" t="n">
        <f aca="false">C27+B27</f>
        <v>1142640</v>
      </c>
      <c r="D28" s="26" t="n">
        <f aca="false">ROUND((ตั้งค่า!$C$12+ตั้งค่า!$C$13*A28)*(1+ตั้งค่า!$C$14)^(A28-1),1)</f>
        <v>91.5</v>
      </c>
      <c r="E28" s="25" t="n">
        <f aca="false">ROUND((ตั้งค่า!$C$15+ตั้งค่า!$C$16*A28)*(1+ตั้งค่า!$C$17)^(A28-1),0)</f>
        <v>465</v>
      </c>
      <c r="F28" s="25" t="n">
        <f aca="false">ROUND(D28*ตั้งค่า!$C$22,0)</f>
        <v>5</v>
      </c>
      <c r="G28" s="26" t="n">
        <f aca="false">MAX(1,D28-F28)</f>
        <v>86.5</v>
      </c>
      <c r="H28" s="25" t="n">
        <f aca="false">ROUND(ตั้งค่า!$C$20*G28,0)</f>
        <v>346</v>
      </c>
      <c r="I28" s="25" t="n">
        <f aca="false">MAX(1,ROUND(E28/ตั้งค่า!$C$23,0))</f>
        <v>39</v>
      </c>
      <c r="J28" s="27" t="n">
        <f aca="false">ตั้งค่า!$C$20*ตั้งค่า!$C$18+ตั้งค่า!$C$21</f>
        <v>6.8</v>
      </c>
      <c r="K28" s="27" t="n">
        <f aca="false">ตั้งค่า!$C$10*A28^ตั้งค่า!$C$8+ตั้งค่า!$C$9</f>
        <v>42.5972151667428</v>
      </c>
      <c r="L28" s="25" t="n">
        <f aca="false">K28*60/J28</f>
        <v>375.857780883025</v>
      </c>
      <c r="M28" s="25" t="n">
        <f aca="false">MAX(1,ROUND(B28/L28,0))</f>
        <v>552</v>
      </c>
      <c r="N28" s="25" t="n">
        <f aca="false">MAX(1,ROUND(M28*ตั้งค่า!$C$26*(1-ตั้งค่า!$C$27),0))</f>
        <v>221</v>
      </c>
      <c r="O28" s="25" t="n">
        <f aca="false">MAX(1,ROUND(M28*ตั้งค่า!$C$26*(1+ตั้งค่า!$C$27),0))</f>
        <v>331</v>
      </c>
      <c r="P28" s="25" t="n">
        <f aca="false">ROUNDUP(B28/M28,0)</f>
        <v>376</v>
      </c>
      <c r="Q28" s="27" t="n">
        <f aca="false">P28*J28/60</f>
        <v>42.6133333333333</v>
      </c>
      <c r="R28" s="26" t="n">
        <f aca="false">R27+Q27/60</f>
        <v>5.50233333333333</v>
      </c>
    </row>
    <row r="29" customFormat="false" ht="15" hidden="false" customHeight="false" outlineLevel="0" collapsed="false">
      <c r="A29" s="3" t="n">
        <v>25</v>
      </c>
      <c r="B29" s="25" t="n">
        <f aca="false">ROUND(ตั้งค่า!$C$24*A29^ตั้งค่า!$C$25,0)</f>
        <v>234375</v>
      </c>
      <c r="C29" s="25" t="n">
        <f aca="false">C28+B28</f>
        <v>1350000</v>
      </c>
      <c r="D29" s="26" t="n">
        <f aca="false">ROUND((ตั้งค่า!$C$12+ตั้งค่า!$C$13*A29)*(1+ตั้งค่า!$C$14)^(A29-1),1)</f>
        <v>96.5</v>
      </c>
      <c r="E29" s="25" t="n">
        <f aca="false">ROUND((ตั้งค่า!$C$15+ตั้งค่า!$C$16*A29)*(1+ตั้งค่า!$C$17)^(A29-1),0)</f>
        <v>486</v>
      </c>
      <c r="F29" s="25" t="n">
        <f aca="false">ROUND(D29*ตั้งค่า!$C$22,0)</f>
        <v>5</v>
      </c>
      <c r="G29" s="26" t="n">
        <f aca="false">MAX(1,D29-F29)</f>
        <v>91.5</v>
      </c>
      <c r="H29" s="25" t="n">
        <f aca="false">ROUND(ตั้งค่า!$C$20*G29,0)</f>
        <v>366</v>
      </c>
      <c r="I29" s="25" t="n">
        <f aca="false">MAX(1,ROUND(E29/ตั้งค่า!$C$23,0))</f>
        <v>41</v>
      </c>
      <c r="J29" s="27" t="n">
        <f aca="false">ตั้งค่า!$C$20*ตั้งค่า!$C$18+ตั้งค่า!$C$21</f>
        <v>6.8</v>
      </c>
      <c r="K29" s="27" t="n">
        <f aca="false">ตั้งค่า!$C$10*A29^ตั้งค่า!$C$8+ตั้งค่า!$C$9</f>
        <v>46.1698949291914</v>
      </c>
      <c r="L29" s="25" t="n">
        <f aca="false">K29*60/J29</f>
        <v>407.381425845807</v>
      </c>
      <c r="M29" s="25" t="n">
        <f aca="false">MAX(1,ROUND(B29/L29,0))</f>
        <v>575</v>
      </c>
      <c r="N29" s="25" t="n">
        <f aca="false">MAX(1,ROUND(M29*ตั้งค่า!$C$26*(1-ตั้งค่า!$C$27),0))</f>
        <v>230</v>
      </c>
      <c r="O29" s="25" t="n">
        <f aca="false">MAX(1,ROUND(M29*ตั้งค่า!$C$26*(1+ตั้งค่า!$C$27),0))</f>
        <v>345</v>
      </c>
      <c r="P29" s="25" t="n">
        <f aca="false">ROUNDUP(B29/M29,0)</f>
        <v>408</v>
      </c>
      <c r="Q29" s="27" t="n">
        <f aca="false">P29*J29/60</f>
        <v>46.24</v>
      </c>
      <c r="R29" s="26" t="n">
        <f aca="false">R28+Q28/60</f>
        <v>6.21255555555555</v>
      </c>
    </row>
    <row r="30" customFormat="false" ht="15" hidden="false" customHeight="false" outlineLevel="0" collapsed="false">
      <c r="A30" s="3" t="n">
        <v>26</v>
      </c>
      <c r="B30" s="25" t="n">
        <f aca="false">ROUND(ตั้งค่า!$C$24*A30^ตั้งค่า!$C$25,0)</f>
        <v>263640</v>
      </c>
      <c r="C30" s="25" t="n">
        <f aca="false">C29+B29</f>
        <v>1584375</v>
      </c>
      <c r="D30" s="26" t="n">
        <f aca="false">ROUND((ตั้งค่า!$C$12+ตั้งค่า!$C$13*A30)*(1+ตั้งค่า!$C$14)^(A30-1),1)</f>
        <v>101.7</v>
      </c>
      <c r="E30" s="25" t="n">
        <f aca="false">ROUND((ตั้งค่า!$C$15+ตั้งค่า!$C$16*A30)*(1+ตั้งค่า!$C$17)^(A30-1),0)</f>
        <v>508</v>
      </c>
      <c r="F30" s="25" t="n">
        <f aca="false">ROUND(D30*ตั้งค่า!$C$22,0)</f>
        <v>5</v>
      </c>
      <c r="G30" s="26" t="n">
        <f aca="false">MAX(1,D30-F30)</f>
        <v>96.7</v>
      </c>
      <c r="H30" s="25" t="n">
        <f aca="false">ROUND(ตั้งค่า!$C$20*G30,0)</f>
        <v>387</v>
      </c>
      <c r="I30" s="25" t="n">
        <f aca="false">MAX(1,ROUND(E30/ตั้งค่า!$C$23,0))</f>
        <v>42</v>
      </c>
      <c r="J30" s="27" t="n">
        <f aca="false">ตั้งค่า!$C$20*ตั้งค่า!$C$18+ตั้งค่า!$C$21</f>
        <v>6.8</v>
      </c>
      <c r="K30" s="27" t="n">
        <f aca="false">ตั้งค่า!$C$10*A30^ตั้งค่า!$C$8+ตั้งค่า!$C$9</f>
        <v>49.8883983554134</v>
      </c>
      <c r="L30" s="25" t="n">
        <f aca="false">K30*60/J30</f>
        <v>440.191750194824</v>
      </c>
      <c r="M30" s="25" t="n">
        <f aca="false">MAX(1,ROUND(B30/L30,0))</f>
        <v>599</v>
      </c>
      <c r="N30" s="25" t="n">
        <f aca="false">MAX(1,ROUND(M30*ตั้งค่า!$C$26*(1-ตั้งค่า!$C$27),0))</f>
        <v>240</v>
      </c>
      <c r="O30" s="25" t="n">
        <f aca="false">MAX(1,ROUND(M30*ตั้งค่า!$C$26*(1+ตั้งค่า!$C$27),0))</f>
        <v>359</v>
      </c>
      <c r="P30" s="25" t="n">
        <f aca="false">ROUNDUP(B30/M30,0)</f>
        <v>441</v>
      </c>
      <c r="Q30" s="27" t="n">
        <f aca="false">P30*J30/60</f>
        <v>49.98</v>
      </c>
      <c r="R30" s="26" t="n">
        <f aca="false">R29+Q29/60</f>
        <v>6.98322222222222</v>
      </c>
    </row>
    <row r="31" customFormat="false" ht="15" hidden="false" customHeight="false" outlineLevel="0" collapsed="false">
      <c r="A31" s="3" t="n">
        <v>27</v>
      </c>
      <c r="B31" s="25" t="n">
        <f aca="false">ROUND(ตั้งค่า!$C$24*A31^ตั้งค่า!$C$25,0)</f>
        <v>295245</v>
      </c>
      <c r="C31" s="25" t="n">
        <f aca="false">C30+B30</f>
        <v>1848015</v>
      </c>
      <c r="D31" s="26" t="n">
        <f aca="false">ROUND((ตั้งค่า!$C$12+ตั้งค่า!$C$13*A31)*(1+ตั้งค่า!$C$14)^(A31-1),1)</f>
        <v>107.1</v>
      </c>
      <c r="E31" s="25" t="n">
        <f aca="false">ROUND((ตั้งค่า!$C$15+ตั้งค่า!$C$16*A31)*(1+ตั้งค่า!$C$17)^(A31-1),0)</f>
        <v>530</v>
      </c>
      <c r="F31" s="25" t="n">
        <f aca="false">ROUND(D31*ตั้งค่า!$C$22,0)</f>
        <v>5</v>
      </c>
      <c r="G31" s="26" t="n">
        <f aca="false">MAX(1,D31-F31)</f>
        <v>102.1</v>
      </c>
      <c r="H31" s="25" t="n">
        <f aca="false">ROUND(ตั้งค่า!$C$20*G31,0)</f>
        <v>408</v>
      </c>
      <c r="I31" s="25" t="n">
        <f aca="false">MAX(1,ROUND(E31/ตั้งค่า!$C$23,0))</f>
        <v>44</v>
      </c>
      <c r="J31" s="27" t="n">
        <f aca="false">ตั้งค่า!$C$20*ตั้งค่า!$C$18+ตั้งค่า!$C$21</f>
        <v>6.8</v>
      </c>
      <c r="K31" s="27" t="n">
        <f aca="false">ตั้งค่า!$C$10*A31^ตั้งค่า!$C$8+ตั้งค่า!$C$9</f>
        <v>53.7527254454089</v>
      </c>
      <c r="L31" s="25" t="n">
        <f aca="false">K31*60/J31</f>
        <v>474.288753930078</v>
      </c>
      <c r="M31" s="25" t="n">
        <f aca="false">MAX(1,ROUND(B31/L31,0))</f>
        <v>623</v>
      </c>
      <c r="N31" s="25" t="n">
        <f aca="false">MAX(1,ROUND(M31*ตั้งค่า!$C$26*(1-ตั้งค่า!$C$27),0))</f>
        <v>249</v>
      </c>
      <c r="O31" s="25" t="n">
        <f aca="false">MAX(1,ROUND(M31*ตั้งค่า!$C$26*(1+ตั้งค่า!$C$27),0))</f>
        <v>374</v>
      </c>
      <c r="P31" s="25" t="n">
        <f aca="false">ROUNDUP(B31/M31,0)</f>
        <v>474</v>
      </c>
      <c r="Q31" s="27" t="n">
        <f aca="false">P31*J31/60</f>
        <v>53.72</v>
      </c>
      <c r="R31" s="26" t="n">
        <f aca="false">R30+Q30/60</f>
        <v>7.81622222222222</v>
      </c>
    </row>
    <row r="32" customFormat="false" ht="15" hidden="false" customHeight="false" outlineLevel="0" collapsed="false">
      <c r="A32" s="3" t="n">
        <v>28</v>
      </c>
      <c r="B32" s="25" t="n">
        <f aca="false">ROUND(ตั้งค่า!$C$24*A32^ตั้งค่า!$C$25,0)</f>
        <v>329280</v>
      </c>
      <c r="C32" s="25" t="n">
        <f aca="false">C31+B31</f>
        <v>2143260</v>
      </c>
      <c r="D32" s="26" t="n">
        <f aca="false">ROUND((ตั้งค่า!$C$12+ตั้งค่า!$C$13*A32)*(1+ตั้งค่า!$C$14)^(A32-1),1)</f>
        <v>112.7</v>
      </c>
      <c r="E32" s="25" t="n">
        <f aca="false">ROUND((ตั้งค่า!$C$15+ตั้งค่า!$C$16*A32)*(1+ตั้งค่า!$C$17)^(A32-1),0)</f>
        <v>553</v>
      </c>
      <c r="F32" s="25" t="n">
        <f aca="false">ROUND(D32*ตั้งค่า!$C$22,0)</f>
        <v>6</v>
      </c>
      <c r="G32" s="26" t="n">
        <f aca="false">MAX(1,D32-F32)</f>
        <v>106.7</v>
      </c>
      <c r="H32" s="25" t="n">
        <f aca="false">ROUND(ตั้งค่า!$C$20*G32,0)</f>
        <v>427</v>
      </c>
      <c r="I32" s="25" t="n">
        <f aca="false">MAX(1,ROUND(E32/ตั้งค่า!$C$23,0))</f>
        <v>46</v>
      </c>
      <c r="J32" s="27" t="n">
        <f aca="false">ตั้งค่า!$C$20*ตั้งค่า!$C$18+ตั้งค่า!$C$21</f>
        <v>6.8</v>
      </c>
      <c r="K32" s="27" t="n">
        <f aca="false">ตั้งค่า!$C$10*A32^ตั้งค่า!$C$8+ตั้งค่า!$C$9</f>
        <v>57.7628761991777</v>
      </c>
      <c r="L32" s="25" t="n">
        <f aca="false">K32*60/J32</f>
        <v>509.672437051568</v>
      </c>
      <c r="M32" s="25" t="n">
        <f aca="false">MAX(1,ROUND(B32/L32,0))</f>
        <v>646</v>
      </c>
      <c r="N32" s="25" t="n">
        <f aca="false">MAX(1,ROUND(M32*ตั้งค่า!$C$26*(1-ตั้งค่า!$C$27),0))</f>
        <v>258</v>
      </c>
      <c r="O32" s="25" t="n">
        <f aca="false">MAX(1,ROUND(M32*ตั้งค่า!$C$26*(1+ตั้งค่า!$C$27),0))</f>
        <v>388</v>
      </c>
      <c r="P32" s="25" t="n">
        <f aca="false">ROUNDUP(B32/M32,0)</f>
        <v>510</v>
      </c>
      <c r="Q32" s="27" t="n">
        <f aca="false">P32*J32/60</f>
        <v>57.8</v>
      </c>
      <c r="R32" s="26" t="n">
        <f aca="false">R31+Q31/60</f>
        <v>8.71155555555556</v>
      </c>
    </row>
    <row r="33" customFormat="false" ht="15" hidden="false" customHeight="false" outlineLevel="0" collapsed="false">
      <c r="A33" s="3" t="n">
        <v>29</v>
      </c>
      <c r="B33" s="25" t="n">
        <f aca="false">ROUND(ตั้งค่า!$C$24*A33^ตั้งค่า!$C$25,0)</f>
        <v>365835</v>
      </c>
      <c r="C33" s="25" t="n">
        <f aca="false">C32+B32</f>
        <v>2472540</v>
      </c>
      <c r="D33" s="26" t="n">
        <f aca="false">ROUND((ตั้งค่า!$C$12+ตั้งค่า!$C$13*A33)*(1+ตั้งค่า!$C$14)^(A33-1),1)</f>
        <v>118.4</v>
      </c>
      <c r="E33" s="25" t="n">
        <f aca="false">ROUND((ตั้งค่า!$C$15+ตั้งค่า!$C$16*A33)*(1+ตั้งค่า!$C$17)^(A33-1),0)</f>
        <v>577</v>
      </c>
      <c r="F33" s="25" t="n">
        <f aca="false">ROUND(D33*ตั้งค่า!$C$22,0)</f>
        <v>6</v>
      </c>
      <c r="G33" s="26" t="n">
        <f aca="false">MAX(1,D33-F33)</f>
        <v>112.4</v>
      </c>
      <c r="H33" s="25" t="n">
        <f aca="false">ROUND(ตั้งค่า!$C$20*G33,0)</f>
        <v>450</v>
      </c>
      <c r="I33" s="25" t="n">
        <f aca="false">MAX(1,ROUND(E33/ตั้งค่า!$C$23,0))</f>
        <v>48</v>
      </c>
      <c r="J33" s="27" t="n">
        <f aca="false">ตั้งค่า!$C$20*ตั้งค่า!$C$18+ตั้งค่า!$C$21</f>
        <v>6.8</v>
      </c>
      <c r="K33" s="27" t="n">
        <f aca="false">ตั้งค่า!$C$10*A33^ตั้งค่า!$C$8+ตั้งค่า!$C$9</f>
        <v>61.91885061672</v>
      </c>
      <c r="L33" s="25" t="n">
        <f aca="false">K33*60/J33</f>
        <v>546.342799559294</v>
      </c>
      <c r="M33" s="25" t="n">
        <f aca="false">MAX(1,ROUND(B33/L33,0))</f>
        <v>670</v>
      </c>
      <c r="N33" s="25" t="n">
        <f aca="false">MAX(1,ROUND(M33*ตั้งค่า!$C$26*(1-ตั้งค่า!$C$27),0))</f>
        <v>268</v>
      </c>
      <c r="O33" s="25" t="n">
        <f aca="false">MAX(1,ROUND(M33*ตั้งค่า!$C$26*(1+ตั้งค่า!$C$27),0))</f>
        <v>402</v>
      </c>
      <c r="P33" s="25" t="n">
        <f aca="false">ROUNDUP(B33/M33,0)</f>
        <v>547</v>
      </c>
      <c r="Q33" s="27" t="n">
        <f aca="false">P33*J33/60</f>
        <v>61.9933333333333</v>
      </c>
      <c r="R33" s="26" t="n">
        <f aca="false">R32+Q32/60</f>
        <v>9.67488888888889</v>
      </c>
    </row>
    <row r="34" customFormat="false" ht="15" hidden="false" customHeight="false" outlineLevel="0" collapsed="false">
      <c r="A34" s="3" t="n">
        <v>30</v>
      </c>
      <c r="B34" s="25" t="n">
        <f aca="false">ROUND(ตั้งค่า!$C$24*A34^ตั้งค่า!$C$25,0)</f>
        <v>405000</v>
      </c>
      <c r="C34" s="25" t="n">
        <f aca="false">C33+B33</f>
        <v>2838375</v>
      </c>
      <c r="D34" s="26" t="n">
        <f aca="false">ROUND((ตั้งค่า!$C$12+ตั้งค่า!$C$13*A34)*(1+ตั้งค่า!$C$14)^(A34-1),1)</f>
        <v>124.3</v>
      </c>
      <c r="E34" s="25" t="n">
        <f aca="false">ROUND((ตั้งค่า!$C$15+ตั้งค่า!$C$16*A34)*(1+ตั้งค่า!$C$17)^(A34-1),0)</f>
        <v>601</v>
      </c>
      <c r="F34" s="25" t="n">
        <f aca="false">ROUND(D34*ตั้งค่า!$C$22,0)</f>
        <v>6</v>
      </c>
      <c r="G34" s="26" t="n">
        <f aca="false">MAX(1,D34-F34)</f>
        <v>118.3</v>
      </c>
      <c r="H34" s="25" t="n">
        <f aca="false">ROUND(ตั้งค่า!$C$20*G34,0)</f>
        <v>473</v>
      </c>
      <c r="I34" s="25" t="n">
        <f aca="false">MAX(1,ROUND(E34/ตั้งค่า!$C$23,0))</f>
        <v>50</v>
      </c>
      <c r="J34" s="27" t="n">
        <f aca="false">ตั้งค่า!$C$20*ตั้งค่า!$C$18+ตั้งค่า!$C$21</f>
        <v>6.8</v>
      </c>
      <c r="K34" s="27" t="n">
        <f aca="false">ตั้งค่า!$C$10*A34^ตั้งค่า!$C$8+ตั้งค่า!$C$9</f>
        <v>66.2206486980356</v>
      </c>
      <c r="L34" s="25" t="n">
        <f aca="false">K34*60/J34</f>
        <v>584.299841453256</v>
      </c>
      <c r="M34" s="25" t="n">
        <f aca="false">MAX(1,ROUND(B34/L34,0))</f>
        <v>693</v>
      </c>
      <c r="N34" s="25" t="n">
        <f aca="false">MAX(1,ROUND(M34*ตั้งค่า!$C$26*(1-ตั้งค่า!$C$27),0))</f>
        <v>277</v>
      </c>
      <c r="O34" s="25" t="n">
        <f aca="false">MAX(1,ROUND(M34*ตั้งค่า!$C$26*(1+ตั้งค่า!$C$27),0))</f>
        <v>416</v>
      </c>
      <c r="P34" s="25" t="n">
        <f aca="false">ROUNDUP(B34/M34,0)</f>
        <v>585</v>
      </c>
      <c r="Q34" s="27" t="n">
        <f aca="false">P34*J34/60</f>
        <v>66.3</v>
      </c>
      <c r="R34" s="26" t="n">
        <f aca="false">R33+Q33/60</f>
        <v>10.7081111111111</v>
      </c>
    </row>
    <row r="35" customFormat="false" ht="15" hidden="false" customHeight="false" outlineLevel="0" collapsed="false">
      <c r="A35" s="3" t="n">
        <v>31</v>
      </c>
      <c r="B35" s="25" t="n">
        <f aca="false">ROUND(ตั้งค่า!$C$24*A35^ตั้งค่า!$C$25,0)</f>
        <v>446865</v>
      </c>
      <c r="C35" s="25" t="n">
        <f aca="false">C34+B34</f>
        <v>3243375</v>
      </c>
      <c r="D35" s="26" t="n">
        <f aca="false">ROUND((ตั้งค่า!$C$12+ตั้งค่า!$C$13*A35)*(1+ตั้งค่า!$C$14)^(A35-1),1)</f>
        <v>130.4</v>
      </c>
      <c r="E35" s="25" t="n">
        <f aca="false">ROUND((ตั้งค่า!$C$15+ตั้งค่า!$C$16*A35)*(1+ตั้งค่า!$C$17)^(A35-1),0)</f>
        <v>625</v>
      </c>
      <c r="F35" s="25" t="n">
        <f aca="false">ROUND(D35*ตั้งค่า!$C$22,0)</f>
        <v>7</v>
      </c>
      <c r="G35" s="26" t="n">
        <f aca="false">MAX(1,D35-F35)</f>
        <v>123.4</v>
      </c>
      <c r="H35" s="25" t="n">
        <f aca="false">ROUND(ตั้งค่า!$C$20*G35,0)</f>
        <v>494</v>
      </c>
      <c r="I35" s="25" t="n">
        <f aca="false">MAX(1,ROUND(E35/ตั้งค่า!$C$23,0))</f>
        <v>52</v>
      </c>
      <c r="J35" s="27" t="n">
        <f aca="false">ตั้งค่า!$C$20*ตั้งค่า!$C$18+ตั้งค่า!$C$21</f>
        <v>6.8</v>
      </c>
      <c r="K35" s="27" t="n">
        <f aca="false">ตั้งค่า!$C$10*A35^ตั้งค่า!$C$8+ตั้งค่า!$C$9</f>
        <v>70.6682704431247</v>
      </c>
      <c r="L35" s="25" t="n">
        <f aca="false">K35*60/J35</f>
        <v>623.543562733453</v>
      </c>
      <c r="M35" s="25" t="n">
        <f aca="false">MAX(1,ROUND(B35/L35,0))</f>
        <v>717</v>
      </c>
      <c r="N35" s="25" t="n">
        <f aca="false">MAX(1,ROUND(M35*ตั้งค่า!$C$26*(1-ตั้งค่า!$C$27),0))</f>
        <v>287</v>
      </c>
      <c r="O35" s="25" t="n">
        <f aca="false">MAX(1,ROUND(M35*ตั้งค่า!$C$26*(1+ตั้งค่า!$C$27),0))</f>
        <v>430</v>
      </c>
      <c r="P35" s="25" t="n">
        <f aca="false">ROUNDUP(B35/M35,0)</f>
        <v>624</v>
      </c>
      <c r="Q35" s="27" t="n">
        <f aca="false">P35*J35/60</f>
        <v>70.72</v>
      </c>
      <c r="R35" s="26" t="n">
        <f aca="false">R34+Q34/60</f>
        <v>11.8131111111111</v>
      </c>
    </row>
    <row r="36" customFormat="false" ht="15" hidden="false" customHeight="false" outlineLevel="0" collapsed="false">
      <c r="A36" s="3" t="n">
        <v>32</v>
      </c>
      <c r="B36" s="25" t="n">
        <f aca="false">ROUND(ตั้งค่า!$C$24*A36^ตั้งค่า!$C$25,0)</f>
        <v>491520</v>
      </c>
      <c r="C36" s="25" t="n">
        <f aca="false">C35+B35</f>
        <v>3690240</v>
      </c>
      <c r="D36" s="26" t="n">
        <f aca="false">ROUND((ตั้งค่า!$C$12+ตั้งค่า!$C$13*A36)*(1+ตั้งค่า!$C$14)^(A36-1),1)</f>
        <v>136.7</v>
      </c>
      <c r="E36" s="25" t="n">
        <f aca="false">ROUND((ตั้งค่า!$C$15+ตั้งค่า!$C$16*A36)*(1+ตั้งค่า!$C$17)^(A36-1),0)</f>
        <v>650</v>
      </c>
      <c r="F36" s="25" t="n">
        <f aca="false">ROUND(D36*ตั้งค่า!$C$22,0)</f>
        <v>7</v>
      </c>
      <c r="G36" s="26" t="n">
        <f aca="false">MAX(1,D36-F36)</f>
        <v>129.7</v>
      </c>
      <c r="H36" s="25" t="n">
        <f aca="false">ROUND(ตั้งค่า!$C$20*G36,0)</f>
        <v>519</v>
      </c>
      <c r="I36" s="25" t="n">
        <f aca="false">MAX(1,ROUND(E36/ตั้งค่า!$C$23,0))</f>
        <v>54</v>
      </c>
      <c r="J36" s="27" t="n">
        <f aca="false">ตั้งค่า!$C$20*ตั้งค่า!$C$18+ตั้งค่า!$C$21</f>
        <v>6.8</v>
      </c>
      <c r="K36" s="27" t="n">
        <f aca="false">ตั้งค่า!$C$10*A36^ตั้งค่า!$C$8+ตั้งค่า!$C$9</f>
        <v>75.2617158519872</v>
      </c>
      <c r="L36" s="25" t="n">
        <f aca="false">K36*60/J36</f>
        <v>664.073963399887</v>
      </c>
      <c r="M36" s="25" t="n">
        <f aca="false">MAX(1,ROUND(B36/L36,0))</f>
        <v>740</v>
      </c>
      <c r="N36" s="25" t="n">
        <f aca="false">MAX(1,ROUND(M36*ตั้งค่า!$C$26*(1-ตั้งค่า!$C$27),0))</f>
        <v>296</v>
      </c>
      <c r="O36" s="25" t="n">
        <f aca="false">MAX(1,ROUND(M36*ตั้งค่า!$C$26*(1+ตั้งค่า!$C$27),0))</f>
        <v>444</v>
      </c>
      <c r="P36" s="25" t="n">
        <f aca="false">ROUNDUP(B36/M36,0)</f>
        <v>665</v>
      </c>
      <c r="Q36" s="27" t="n">
        <f aca="false">P36*J36/60</f>
        <v>75.3666666666667</v>
      </c>
      <c r="R36" s="26" t="n">
        <f aca="false">R35+Q35/60</f>
        <v>12.9917777777778</v>
      </c>
    </row>
    <row r="37" customFormat="false" ht="15" hidden="false" customHeight="false" outlineLevel="0" collapsed="false">
      <c r="A37" s="3" t="n">
        <v>33</v>
      </c>
      <c r="B37" s="25" t="n">
        <f aca="false">ROUND(ตั้งค่า!$C$24*A37^ตั้งค่า!$C$25,0)</f>
        <v>539055</v>
      </c>
      <c r="C37" s="25" t="n">
        <f aca="false">C36+B36</f>
        <v>4181760</v>
      </c>
      <c r="D37" s="26" t="n">
        <f aca="false">ROUND((ตั้งค่า!$C$12+ตั้งค่า!$C$13*A37)*(1+ตั้งค่า!$C$14)^(A37-1),1)</f>
        <v>143.2</v>
      </c>
      <c r="E37" s="25" t="n">
        <f aca="false">ROUND((ตั้งค่า!$C$15+ตั้งค่า!$C$16*A37)*(1+ตั้งค่า!$C$17)^(A37-1),0)</f>
        <v>676</v>
      </c>
      <c r="F37" s="25" t="n">
        <f aca="false">ROUND(D37*ตั้งค่า!$C$22,0)</f>
        <v>7</v>
      </c>
      <c r="G37" s="26" t="n">
        <f aca="false">MAX(1,D37-F37)</f>
        <v>136.2</v>
      </c>
      <c r="H37" s="25" t="n">
        <f aca="false">ROUND(ตั้งค่า!$C$20*G37,0)</f>
        <v>545</v>
      </c>
      <c r="I37" s="25" t="n">
        <f aca="false">MAX(1,ROUND(E37/ตั้งค่า!$C$23,0))</f>
        <v>56</v>
      </c>
      <c r="J37" s="27" t="n">
        <f aca="false">ตั้งค่า!$C$20*ตั้งค่า!$C$18+ตั้งค่า!$C$21</f>
        <v>6.8</v>
      </c>
      <c r="K37" s="27" t="n">
        <f aca="false">ตั้งค่า!$C$10*A37^ตั้งค่า!$C$8+ตั้งค่า!$C$9</f>
        <v>80.0009849246231</v>
      </c>
      <c r="L37" s="25" t="n">
        <f aca="false">K37*60/J37</f>
        <v>705.891043452557</v>
      </c>
      <c r="M37" s="25" t="n">
        <f aca="false">MAX(1,ROUND(B37/L37,0))</f>
        <v>764</v>
      </c>
      <c r="N37" s="25" t="n">
        <f aca="false">MAX(1,ROUND(M37*ตั้งค่า!$C$26*(1-ตั้งค่า!$C$27),0))</f>
        <v>306</v>
      </c>
      <c r="O37" s="25" t="n">
        <f aca="false">MAX(1,ROUND(M37*ตั้งค่า!$C$26*(1+ตั้งค่า!$C$27),0))</f>
        <v>458</v>
      </c>
      <c r="P37" s="25" t="n">
        <f aca="false">ROUNDUP(B37/M37,0)</f>
        <v>706</v>
      </c>
      <c r="Q37" s="27" t="n">
        <f aca="false">P37*J37/60</f>
        <v>80.0133333333333</v>
      </c>
      <c r="R37" s="26" t="n">
        <f aca="false">R36+Q36/60</f>
        <v>14.2478888888889</v>
      </c>
    </row>
    <row r="38" customFormat="false" ht="15" hidden="false" customHeight="false" outlineLevel="0" collapsed="false">
      <c r="A38" s="3" t="n">
        <v>34</v>
      </c>
      <c r="B38" s="25" t="n">
        <f aca="false">ROUND(ตั้งค่า!$C$24*A38^ตั้งค่า!$C$25,0)</f>
        <v>589560</v>
      </c>
      <c r="C38" s="25" t="n">
        <f aca="false">C37+B37</f>
        <v>4720815</v>
      </c>
      <c r="D38" s="26" t="n">
        <f aca="false">ROUND((ตั้งค่า!$C$12+ตั้งค่า!$C$13*A38)*(1+ตั้งค่า!$C$14)^(A38-1),1)</f>
        <v>149.9</v>
      </c>
      <c r="E38" s="25" t="n">
        <f aca="false">ROUND((ตั้งค่า!$C$15+ตั้งค่า!$C$16*A38)*(1+ตั้งค่า!$C$17)^(A38-1),0)</f>
        <v>703</v>
      </c>
      <c r="F38" s="25" t="n">
        <f aca="false">ROUND(D38*ตั้งค่า!$C$22,0)</f>
        <v>7</v>
      </c>
      <c r="G38" s="26" t="n">
        <f aca="false">MAX(1,D38-F38)</f>
        <v>142.9</v>
      </c>
      <c r="H38" s="25" t="n">
        <f aca="false">ROUND(ตั้งค่า!$C$20*G38,0)</f>
        <v>572</v>
      </c>
      <c r="I38" s="25" t="n">
        <f aca="false">MAX(1,ROUND(E38/ตั้งค่า!$C$23,0))</f>
        <v>59</v>
      </c>
      <c r="J38" s="27" t="n">
        <f aca="false">ตั้งค่า!$C$20*ตั้งค่า!$C$18+ตั้งค่า!$C$21</f>
        <v>6.8</v>
      </c>
      <c r="K38" s="27" t="n">
        <f aca="false">ตั้งค่า!$C$10*A38^ตั้งค่า!$C$8+ตั้งค่า!$C$9</f>
        <v>84.8860776610324</v>
      </c>
      <c r="L38" s="25" t="n">
        <f aca="false">K38*60/J38</f>
        <v>748.994802891463</v>
      </c>
      <c r="M38" s="25" t="n">
        <f aca="false">MAX(1,ROUND(B38/L38,0))</f>
        <v>787</v>
      </c>
      <c r="N38" s="25" t="n">
        <f aca="false">MAX(1,ROUND(M38*ตั้งค่า!$C$26*(1-ตั้งค่า!$C$27),0))</f>
        <v>315</v>
      </c>
      <c r="O38" s="25" t="n">
        <f aca="false">MAX(1,ROUND(M38*ตั้งค่า!$C$26*(1+ตั้งค่า!$C$27),0))</f>
        <v>472</v>
      </c>
      <c r="P38" s="25" t="n">
        <f aca="false">ROUNDUP(B38/M38,0)</f>
        <v>750</v>
      </c>
      <c r="Q38" s="27" t="n">
        <f aca="false">P38*J38/60</f>
        <v>85</v>
      </c>
      <c r="R38" s="26" t="n">
        <f aca="false">R37+Q37/60</f>
        <v>15.5814444444444</v>
      </c>
    </row>
    <row r="39" customFormat="false" ht="15" hidden="false" customHeight="false" outlineLevel="0" collapsed="false">
      <c r="A39" s="3" t="n">
        <v>35</v>
      </c>
      <c r="B39" s="25" t="n">
        <f aca="false">ROUND(ตั้งค่า!$C$24*A39^ตั้งค่า!$C$25,0)</f>
        <v>643125</v>
      </c>
      <c r="C39" s="25" t="n">
        <f aca="false">C38+B38</f>
        <v>5310375</v>
      </c>
      <c r="D39" s="26" t="n">
        <f aca="false">ROUND((ตั้งค่า!$C$12+ตั้งค่า!$C$13*A39)*(1+ตั้งค่า!$C$14)^(A39-1),1)</f>
        <v>156.9</v>
      </c>
      <c r="E39" s="25" t="n">
        <f aca="false">ROUND((ตั้งค่า!$C$15+ตั้งค่า!$C$16*A39)*(1+ตั้งค่า!$C$17)^(A39-1),0)</f>
        <v>730</v>
      </c>
      <c r="F39" s="25" t="n">
        <f aca="false">ROUND(D39*ตั้งค่า!$C$22,0)</f>
        <v>8</v>
      </c>
      <c r="G39" s="26" t="n">
        <f aca="false">MAX(1,D39-F39)</f>
        <v>148.9</v>
      </c>
      <c r="H39" s="25" t="n">
        <f aca="false">ROUND(ตั้งค่า!$C$20*G39,0)</f>
        <v>596</v>
      </c>
      <c r="I39" s="25" t="n">
        <f aca="false">MAX(1,ROUND(E39/ตั้งค่า!$C$23,0))</f>
        <v>61</v>
      </c>
      <c r="J39" s="27" t="n">
        <f aca="false">ตั้งค่า!$C$20*ตั้งค่า!$C$18+ตั้งค่า!$C$21</f>
        <v>6.8</v>
      </c>
      <c r="K39" s="27" t="n">
        <f aca="false">ตั้งค่า!$C$10*A39^ตั้งค่า!$C$8+ตั้งค่า!$C$9</f>
        <v>89.9169940612152</v>
      </c>
      <c r="L39" s="25" t="n">
        <f aca="false">K39*60/J39</f>
        <v>793.385241716605</v>
      </c>
      <c r="M39" s="25" t="n">
        <f aca="false">MAX(1,ROUND(B39/L39,0))</f>
        <v>811</v>
      </c>
      <c r="N39" s="25" t="n">
        <f aca="false">MAX(1,ROUND(M39*ตั้งค่า!$C$26*(1-ตั้งค่า!$C$27),0))</f>
        <v>324</v>
      </c>
      <c r="O39" s="25" t="n">
        <f aca="false">MAX(1,ROUND(M39*ตั้งค่า!$C$26*(1+ตั้งค่า!$C$27),0))</f>
        <v>487</v>
      </c>
      <c r="P39" s="25" t="n">
        <f aca="false">ROUNDUP(B39/M39,0)</f>
        <v>794</v>
      </c>
      <c r="Q39" s="27" t="n">
        <f aca="false">P39*J39/60</f>
        <v>89.9866666666667</v>
      </c>
      <c r="R39" s="26" t="n">
        <f aca="false">R38+Q38/60</f>
        <v>16.9981111111111</v>
      </c>
    </row>
    <row r="40" customFormat="false" ht="15" hidden="false" customHeight="false" outlineLevel="0" collapsed="false">
      <c r="A40" s="3" t="n">
        <v>36</v>
      </c>
      <c r="B40" s="25" t="n">
        <f aca="false">ROUND(ตั้งค่า!$C$24*A40^ตั้งค่า!$C$25,0)</f>
        <v>699840</v>
      </c>
      <c r="C40" s="25" t="n">
        <f aca="false">C39+B39</f>
        <v>5953500</v>
      </c>
      <c r="D40" s="26" t="n">
        <f aca="false">ROUND((ตั้งค่า!$C$12+ตั้งค่า!$C$13*A40)*(1+ตั้งค่า!$C$14)^(A40-1),1)</f>
        <v>164</v>
      </c>
      <c r="E40" s="25" t="n">
        <f aca="false">ROUND((ตั้งค่า!$C$15+ตั้งค่า!$C$16*A40)*(1+ตั้งค่า!$C$17)^(A40-1),0)</f>
        <v>758</v>
      </c>
      <c r="F40" s="25" t="n">
        <f aca="false">ROUND(D40*ตั้งค่า!$C$22,0)</f>
        <v>8</v>
      </c>
      <c r="G40" s="26" t="n">
        <f aca="false">MAX(1,D40-F40)</f>
        <v>156</v>
      </c>
      <c r="H40" s="25" t="n">
        <f aca="false">ROUND(ตั้งค่า!$C$20*G40,0)</f>
        <v>624</v>
      </c>
      <c r="I40" s="25" t="n">
        <f aca="false">MAX(1,ROUND(E40/ตั้งค่า!$C$23,0))</f>
        <v>63</v>
      </c>
      <c r="J40" s="27" t="n">
        <f aca="false">ตั้งค่า!$C$20*ตั้งค่า!$C$18+ตั้งค่า!$C$21</f>
        <v>6.8</v>
      </c>
      <c r="K40" s="27" t="n">
        <f aca="false">ตั้งค่า!$C$10*A40^ตั้งค่า!$C$8+ตั้งค่า!$C$9</f>
        <v>95.0937341251713</v>
      </c>
      <c r="L40" s="25" t="n">
        <f aca="false">K40*60/J40</f>
        <v>839.062359927982</v>
      </c>
      <c r="M40" s="25" t="n">
        <f aca="false">MAX(1,ROUND(B40/L40,0))</f>
        <v>834</v>
      </c>
      <c r="N40" s="25" t="n">
        <f aca="false">MAX(1,ROUND(M40*ตั้งค่า!$C$26*(1-ตั้งค่า!$C$27),0))</f>
        <v>334</v>
      </c>
      <c r="O40" s="25" t="n">
        <f aca="false">MAX(1,ROUND(M40*ตั้งค่า!$C$26*(1+ตั้งค่า!$C$27),0))</f>
        <v>500</v>
      </c>
      <c r="P40" s="25" t="n">
        <f aca="false">ROUNDUP(B40/M40,0)</f>
        <v>840</v>
      </c>
      <c r="Q40" s="27" t="n">
        <f aca="false">P40*J40/60</f>
        <v>95.2</v>
      </c>
      <c r="R40" s="26" t="n">
        <f aca="false">R39+Q39/60</f>
        <v>18.4978888888889</v>
      </c>
    </row>
    <row r="41" customFormat="false" ht="15" hidden="false" customHeight="false" outlineLevel="0" collapsed="false">
      <c r="A41" s="3" t="n">
        <v>37</v>
      </c>
      <c r="B41" s="25" t="n">
        <f aca="false">ROUND(ตั้งค่า!$C$24*A41^ตั้งค่า!$C$25,0)</f>
        <v>759795</v>
      </c>
      <c r="C41" s="25" t="n">
        <f aca="false">C40+B40</f>
        <v>6653340</v>
      </c>
      <c r="D41" s="26" t="n">
        <f aca="false">ROUND((ตั้งค่า!$C$12+ตั้งค่า!$C$13*A41)*(1+ตั้งค่า!$C$14)^(A41-1),1)</f>
        <v>171.4</v>
      </c>
      <c r="E41" s="25" t="n">
        <f aca="false">ROUND((ตั้งค่า!$C$15+ตั้งค่า!$C$16*A41)*(1+ตั้งค่า!$C$17)^(A41-1),0)</f>
        <v>786</v>
      </c>
      <c r="F41" s="25" t="n">
        <f aca="false">ROUND(D41*ตั้งค่า!$C$22,0)</f>
        <v>9</v>
      </c>
      <c r="G41" s="26" t="n">
        <f aca="false">MAX(1,D41-F41)</f>
        <v>162.4</v>
      </c>
      <c r="H41" s="25" t="n">
        <f aca="false">ROUND(ตั้งค่า!$C$20*G41,0)</f>
        <v>650</v>
      </c>
      <c r="I41" s="25" t="n">
        <f aca="false">MAX(1,ROUND(E41/ตั้งค่า!$C$23,0))</f>
        <v>66</v>
      </c>
      <c r="J41" s="27" t="n">
        <f aca="false">ตั้งค่า!$C$20*ตั้งค่า!$C$18+ตั้งค่า!$C$21</f>
        <v>6.8</v>
      </c>
      <c r="K41" s="27" t="n">
        <f aca="false">ตั้งค่า!$C$10*A41^ตั้งค่า!$C$8+ตั้งค่า!$C$9</f>
        <v>100.416297852901</v>
      </c>
      <c r="L41" s="25" t="n">
        <f aca="false">K41*60/J41</f>
        <v>886.026157525596</v>
      </c>
      <c r="M41" s="25" t="n">
        <f aca="false">MAX(1,ROUND(B41/L41,0))</f>
        <v>858</v>
      </c>
      <c r="N41" s="25" t="n">
        <f aca="false">MAX(1,ROUND(M41*ตั้งค่า!$C$26*(1-ตั้งค่า!$C$27),0))</f>
        <v>343</v>
      </c>
      <c r="O41" s="25" t="n">
        <f aca="false">MAX(1,ROUND(M41*ตั้งค่า!$C$26*(1+ตั้งค่า!$C$27),0))</f>
        <v>515</v>
      </c>
      <c r="P41" s="25" t="n">
        <f aca="false">ROUNDUP(B41/M41,0)</f>
        <v>886</v>
      </c>
      <c r="Q41" s="27" t="n">
        <f aca="false">P41*J41/60</f>
        <v>100.413333333333</v>
      </c>
      <c r="R41" s="26" t="n">
        <f aca="false">R40+Q40/60</f>
        <v>20.0845555555556</v>
      </c>
    </row>
    <row r="42" customFormat="false" ht="15" hidden="false" customHeight="false" outlineLevel="0" collapsed="false">
      <c r="A42" s="3" t="n">
        <v>38</v>
      </c>
      <c r="B42" s="25" t="n">
        <f aca="false">ROUND(ตั้งค่า!$C$24*A42^ตั้งค่า!$C$25,0)</f>
        <v>823080</v>
      </c>
      <c r="C42" s="25" t="n">
        <f aca="false">C41+B41</f>
        <v>7413135</v>
      </c>
      <c r="D42" s="26" t="n">
        <f aca="false">ROUND((ตั้งค่า!$C$12+ตั้งค่า!$C$13*A42)*(1+ตั้งค่า!$C$14)^(A42-1),1)</f>
        <v>178.9</v>
      </c>
      <c r="E42" s="25" t="n">
        <f aca="false">ROUND((ตั้งค่า!$C$15+ตั้งค่า!$C$16*A42)*(1+ตั้งค่า!$C$17)^(A42-1),0)</f>
        <v>815</v>
      </c>
      <c r="F42" s="25" t="n">
        <f aca="false">ROUND(D42*ตั้งค่า!$C$22,0)</f>
        <v>9</v>
      </c>
      <c r="G42" s="26" t="n">
        <f aca="false">MAX(1,D42-F42)</f>
        <v>169.9</v>
      </c>
      <c r="H42" s="25" t="n">
        <f aca="false">ROUND(ตั้งค่า!$C$20*G42,0)</f>
        <v>680</v>
      </c>
      <c r="I42" s="25" t="n">
        <f aca="false">MAX(1,ROUND(E42/ตั้งค่า!$C$23,0))</f>
        <v>68</v>
      </c>
      <c r="J42" s="27" t="n">
        <f aca="false">ตั้งค่า!$C$20*ตั้งค่า!$C$18+ตั้งค่า!$C$21</f>
        <v>6.8</v>
      </c>
      <c r="K42" s="27" t="n">
        <f aca="false">ตั้งค่า!$C$10*A42^ตั้งค่า!$C$8+ตั้งค่า!$C$9</f>
        <v>105.884685244404</v>
      </c>
      <c r="L42" s="25" t="n">
        <f aca="false">K42*60/J42</f>
        <v>934.276634509446</v>
      </c>
      <c r="M42" s="25" t="n">
        <f aca="false">MAX(1,ROUND(B42/L42,0))</f>
        <v>881</v>
      </c>
      <c r="N42" s="25" t="n">
        <f aca="false">MAX(1,ROUND(M42*ตั้งค่า!$C$26*(1-ตั้งค่า!$C$27),0))</f>
        <v>352</v>
      </c>
      <c r="O42" s="25" t="n">
        <f aca="false">MAX(1,ROUND(M42*ตั้งค่า!$C$26*(1+ตั้งค่า!$C$27),0))</f>
        <v>529</v>
      </c>
      <c r="P42" s="25" t="n">
        <f aca="false">ROUNDUP(B42/M42,0)</f>
        <v>935</v>
      </c>
      <c r="Q42" s="27" t="n">
        <f aca="false">P42*J42/60</f>
        <v>105.966666666667</v>
      </c>
      <c r="R42" s="26" t="n">
        <f aca="false">R41+Q41/60</f>
        <v>21.7581111111111</v>
      </c>
    </row>
    <row r="43" customFormat="false" ht="15" hidden="false" customHeight="false" outlineLevel="0" collapsed="false">
      <c r="A43" s="3" t="n">
        <v>39</v>
      </c>
      <c r="B43" s="25" t="n">
        <f aca="false">ROUND(ตั้งค่า!$C$24*A43^ตั้งค่า!$C$25,0)</f>
        <v>889785</v>
      </c>
      <c r="C43" s="25" t="n">
        <f aca="false">C42+B42</f>
        <v>8236215</v>
      </c>
      <c r="D43" s="26" t="n">
        <f aca="false">ROUND((ตั้งค่า!$C$12+ตั้งค่า!$C$13*A43)*(1+ตั้งค่า!$C$14)^(A43-1),1)</f>
        <v>186.8</v>
      </c>
      <c r="E43" s="25" t="n">
        <f aca="false">ROUND((ตั้งค่า!$C$15+ตั้งค่า!$C$16*A43)*(1+ตั้งค่า!$C$17)^(A43-1),0)</f>
        <v>845</v>
      </c>
      <c r="F43" s="25" t="n">
        <f aca="false">ROUND(D43*ตั้งค่า!$C$22,0)</f>
        <v>9</v>
      </c>
      <c r="G43" s="26" t="n">
        <f aca="false">MAX(1,D43-F43)</f>
        <v>177.8</v>
      </c>
      <c r="H43" s="25" t="n">
        <f aca="false">ROUND(ตั้งค่า!$C$20*G43,0)</f>
        <v>711</v>
      </c>
      <c r="I43" s="25" t="n">
        <f aca="false">MAX(1,ROUND(E43/ตั้งค่า!$C$23,0))</f>
        <v>70</v>
      </c>
      <c r="J43" s="27" t="n">
        <f aca="false">ตั้งค่า!$C$20*ตั้งค่า!$C$18+ตั้งค่า!$C$21</f>
        <v>6.8</v>
      </c>
      <c r="K43" s="27" t="n">
        <f aca="false">ตั้งค่า!$C$10*A43^ตั้งค่า!$C$8+ตั้งค่า!$C$9</f>
        <v>111.49889629968</v>
      </c>
      <c r="L43" s="25" t="n">
        <f aca="false">K43*60/J43</f>
        <v>983.813790879531</v>
      </c>
      <c r="M43" s="25" t="n">
        <f aca="false">MAX(1,ROUND(B43/L43,0))</f>
        <v>904</v>
      </c>
      <c r="N43" s="25" t="n">
        <f aca="false">MAX(1,ROUND(M43*ตั้งค่า!$C$26*(1-ตั้งค่า!$C$27),0))</f>
        <v>362</v>
      </c>
      <c r="O43" s="25" t="n">
        <f aca="false">MAX(1,ROUND(M43*ตั้งค่า!$C$26*(1+ตั้งค่า!$C$27),0))</f>
        <v>542</v>
      </c>
      <c r="P43" s="25" t="n">
        <f aca="false">ROUNDUP(B43/M43,0)</f>
        <v>985</v>
      </c>
      <c r="Q43" s="27" t="n">
        <f aca="false">P43*J43/60</f>
        <v>111.633333333333</v>
      </c>
      <c r="R43" s="26" t="n">
        <f aca="false">R42+Q42/60</f>
        <v>23.5242222222222</v>
      </c>
    </row>
    <row r="44" customFormat="false" ht="15" hidden="false" customHeight="false" outlineLevel="0" collapsed="false">
      <c r="A44" s="3" t="n">
        <v>40</v>
      </c>
      <c r="B44" s="25" t="n">
        <f aca="false">ROUND(ตั้งค่า!$C$24*A44^ตั้งค่า!$C$25,0)</f>
        <v>960000</v>
      </c>
      <c r="C44" s="25" t="n">
        <f aca="false">C43+B43</f>
        <v>9126000</v>
      </c>
      <c r="D44" s="26" t="n">
        <f aca="false">ROUND((ตั้งค่า!$C$12+ตั้งค่า!$C$13*A44)*(1+ตั้งค่า!$C$14)^(A44-1),1)</f>
        <v>194.8</v>
      </c>
      <c r="E44" s="25" t="n">
        <f aca="false">ROUND((ตั้งค่า!$C$15+ตั้งค่า!$C$16*A44)*(1+ตั้งค่า!$C$17)^(A44-1),0)</f>
        <v>876</v>
      </c>
      <c r="F44" s="25" t="n">
        <f aca="false">ROUND(D44*ตั้งค่า!$C$22,0)</f>
        <v>10</v>
      </c>
      <c r="G44" s="26" t="n">
        <f aca="false">MAX(1,D44-F44)</f>
        <v>184.8</v>
      </c>
      <c r="H44" s="25" t="n">
        <f aca="false">ROUND(ตั้งค่า!$C$20*G44,0)</f>
        <v>739</v>
      </c>
      <c r="I44" s="25" t="n">
        <f aca="false">MAX(1,ROUND(E44/ตั้งค่า!$C$23,0))</f>
        <v>73</v>
      </c>
      <c r="J44" s="27" t="n">
        <f aca="false">ตั้งค่า!$C$20*ตั้งค่า!$C$18+ตั้งค่า!$C$21</f>
        <v>6.8</v>
      </c>
      <c r="K44" s="27" t="n">
        <f aca="false">ตั้งค่า!$C$10*A44^ตั้งค่า!$C$8+ตั้งค่า!$C$9</f>
        <v>117.25893101873</v>
      </c>
      <c r="L44" s="25" t="n">
        <f aca="false">K44*60/J44</f>
        <v>1034.63762663585</v>
      </c>
      <c r="M44" s="25" t="n">
        <f aca="false">MAX(1,ROUND(B44/L44,0))</f>
        <v>928</v>
      </c>
      <c r="N44" s="25" t="n">
        <f aca="false">MAX(1,ROUND(M44*ตั้งค่า!$C$26*(1-ตั้งค่า!$C$27),0))</f>
        <v>371</v>
      </c>
      <c r="O44" s="25" t="n">
        <f aca="false">MAX(1,ROUND(M44*ตั้งค่า!$C$26*(1+ตั้งค่า!$C$27),0))</f>
        <v>557</v>
      </c>
      <c r="P44" s="25" t="n">
        <f aca="false">ROUNDUP(B44/M44,0)</f>
        <v>1035</v>
      </c>
      <c r="Q44" s="27" t="n">
        <f aca="false">P44*J44/60</f>
        <v>117.3</v>
      </c>
      <c r="R44" s="26" t="n">
        <f aca="false">R43+Q43/60</f>
        <v>25.3847777777778</v>
      </c>
    </row>
    <row r="45" customFormat="false" ht="15" hidden="false" customHeight="false" outlineLevel="0" collapsed="false">
      <c r="A45" s="3" t="n">
        <v>41</v>
      </c>
      <c r="B45" s="25" t="n">
        <f aca="false">ROUND(ตั้งค่า!$C$24*A45^ตั้งค่า!$C$25,0)</f>
        <v>1033815</v>
      </c>
      <c r="C45" s="25" t="n">
        <f aca="false">C44+B44</f>
        <v>10086000</v>
      </c>
      <c r="D45" s="26" t="n">
        <f aca="false">ROUND((ตั้งค่า!$C$12+ตั้งค่า!$C$13*A45)*(1+ตั้งค่า!$C$14)^(A45-1),1)</f>
        <v>203.1</v>
      </c>
      <c r="E45" s="25" t="n">
        <f aca="false">ROUND((ตั้งค่า!$C$15+ตั้งค่า!$C$16*A45)*(1+ตั้งค่า!$C$17)^(A45-1),0)</f>
        <v>907</v>
      </c>
      <c r="F45" s="25" t="n">
        <f aca="false">ROUND(D45*ตั้งค่า!$C$22,0)</f>
        <v>10</v>
      </c>
      <c r="G45" s="26" t="n">
        <f aca="false">MAX(1,D45-F45)</f>
        <v>193.1</v>
      </c>
      <c r="H45" s="25" t="n">
        <f aca="false">ROUND(ตั้งค่า!$C$20*G45,0)</f>
        <v>772</v>
      </c>
      <c r="I45" s="25" t="n">
        <f aca="false">MAX(1,ROUND(E45/ตั้งค่า!$C$23,0))</f>
        <v>76</v>
      </c>
      <c r="J45" s="27" t="n">
        <f aca="false">ตั้งค่า!$C$20*ตั้งค่า!$C$18+ตั้งค่า!$C$21</f>
        <v>6.8</v>
      </c>
      <c r="K45" s="27" t="n">
        <f aca="false">ตั้งค่า!$C$10*A45^ตั้งค่า!$C$8+ตั้งค่า!$C$9</f>
        <v>123.164789401553</v>
      </c>
      <c r="L45" s="25" t="n">
        <f aca="false">K45*60/J45</f>
        <v>1086.74814177841</v>
      </c>
      <c r="M45" s="25" t="n">
        <f aca="false">MAX(1,ROUND(B45/L45,0))</f>
        <v>951</v>
      </c>
      <c r="N45" s="25" t="n">
        <f aca="false">MAX(1,ROUND(M45*ตั้งค่า!$C$26*(1-ตั้งค่า!$C$27),0))</f>
        <v>380</v>
      </c>
      <c r="O45" s="25" t="n">
        <f aca="false">MAX(1,ROUND(M45*ตั้งค่า!$C$26*(1+ตั้งค่า!$C$27),0))</f>
        <v>571</v>
      </c>
      <c r="P45" s="25" t="n">
        <f aca="false">ROUNDUP(B45/M45,0)</f>
        <v>1088</v>
      </c>
      <c r="Q45" s="27" t="n">
        <f aca="false">P45*J45/60</f>
        <v>123.306666666667</v>
      </c>
      <c r="R45" s="26" t="n">
        <f aca="false">R44+Q44/60</f>
        <v>27.3397777777778</v>
      </c>
    </row>
    <row r="46" customFormat="false" ht="15" hidden="false" customHeight="false" outlineLevel="0" collapsed="false">
      <c r="A46" s="3" t="n">
        <v>42</v>
      </c>
      <c r="B46" s="25" t="n">
        <f aca="false">ROUND(ตั้งค่า!$C$24*A46^ตั้งค่า!$C$25,0)</f>
        <v>1111320</v>
      </c>
      <c r="C46" s="25" t="n">
        <f aca="false">C45+B45</f>
        <v>11119815</v>
      </c>
      <c r="D46" s="26" t="n">
        <f aca="false">ROUND((ตั้งค่า!$C$12+ตั้งค่า!$C$13*A46)*(1+ตั้งค่า!$C$14)^(A46-1),1)</f>
        <v>211.7</v>
      </c>
      <c r="E46" s="25" t="n">
        <f aca="false">ROUND((ตั้งค่า!$C$15+ตั้งค่า!$C$16*A46)*(1+ตั้งค่า!$C$17)^(A46-1),0)</f>
        <v>939</v>
      </c>
      <c r="F46" s="25" t="n">
        <f aca="false">ROUND(D46*ตั้งค่า!$C$22,0)</f>
        <v>11</v>
      </c>
      <c r="G46" s="26" t="n">
        <f aca="false">MAX(1,D46-F46)</f>
        <v>200.7</v>
      </c>
      <c r="H46" s="25" t="n">
        <f aca="false">ROUND(ตั้งค่า!$C$20*G46,0)</f>
        <v>803</v>
      </c>
      <c r="I46" s="25" t="n">
        <f aca="false">MAX(1,ROUND(E46/ตั้งค่า!$C$23,0))</f>
        <v>78</v>
      </c>
      <c r="J46" s="27" t="n">
        <f aca="false">ตั้งค่า!$C$20*ตั้งค่า!$C$18+ตั้งค่า!$C$21</f>
        <v>6.8</v>
      </c>
      <c r="K46" s="27" t="n">
        <f aca="false">ตั้งค่า!$C$10*A46^ตั้งค่า!$C$8+ตั้งค่า!$C$9</f>
        <v>129.21647144815</v>
      </c>
      <c r="L46" s="25" t="n">
        <f aca="false">K46*60/J46</f>
        <v>1140.1453363072</v>
      </c>
      <c r="M46" s="25" t="n">
        <f aca="false">MAX(1,ROUND(B46/L46,0))</f>
        <v>975</v>
      </c>
      <c r="N46" s="25" t="n">
        <f aca="false">MAX(1,ROUND(M46*ตั้งค่า!$C$26*(1-ตั้งค่า!$C$27),0))</f>
        <v>390</v>
      </c>
      <c r="O46" s="25" t="n">
        <f aca="false">MAX(1,ROUND(M46*ตั้งค่า!$C$26*(1+ตั้งค่า!$C$27),0))</f>
        <v>585</v>
      </c>
      <c r="P46" s="25" t="n">
        <f aca="false">ROUNDUP(B46/M46,0)</f>
        <v>1140</v>
      </c>
      <c r="Q46" s="27" t="n">
        <f aca="false">P46*J46/60</f>
        <v>129.2</v>
      </c>
      <c r="R46" s="26" t="n">
        <f aca="false">R45+Q45/60</f>
        <v>29.3948888888889</v>
      </c>
    </row>
    <row r="47" customFormat="false" ht="15" hidden="false" customHeight="false" outlineLevel="0" collapsed="false">
      <c r="A47" s="3" t="n">
        <v>43</v>
      </c>
      <c r="B47" s="25" t="n">
        <f aca="false">ROUND(ตั้งค่า!$C$24*A47^ตั้งค่า!$C$25,0)</f>
        <v>1192605</v>
      </c>
      <c r="C47" s="25" t="n">
        <f aca="false">C46+B46</f>
        <v>12231135</v>
      </c>
      <c r="D47" s="26" t="n">
        <f aca="false">ROUND((ตั้งค่า!$C$12+ตั้งค่า!$C$13*A47)*(1+ตั้งค่า!$C$14)^(A47-1),1)</f>
        <v>220.5</v>
      </c>
      <c r="E47" s="25" t="n">
        <f aca="false">ROUND((ตั้งค่า!$C$15+ตั้งค่า!$C$16*A47)*(1+ตั้งค่า!$C$17)^(A47-1),0)</f>
        <v>972</v>
      </c>
      <c r="F47" s="25" t="n">
        <f aca="false">ROUND(D47*ตั้งค่า!$C$22,0)</f>
        <v>11</v>
      </c>
      <c r="G47" s="26" t="n">
        <f aca="false">MAX(1,D47-F47)</f>
        <v>209.5</v>
      </c>
      <c r="H47" s="25" t="n">
        <f aca="false">ROUND(ตั้งค่า!$C$20*G47,0)</f>
        <v>838</v>
      </c>
      <c r="I47" s="25" t="n">
        <f aca="false">MAX(1,ROUND(E47/ตั้งค่า!$C$23,0))</f>
        <v>81</v>
      </c>
      <c r="J47" s="27" t="n">
        <f aca="false">ตั้งค่า!$C$20*ตั้งค่า!$C$18+ตั้งค่า!$C$21</f>
        <v>6.8</v>
      </c>
      <c r="K47" s="27" t="n">
        <f aca="false">ตั้งค่า!$C$10*A47^ตั้งค่า!$C$8+ตั้งค่า!$C$9</f>
        <v>135.41397715852</v>
      </c>
      <c r="L47" s="25" t="n">
        <f aca="false">K47*60/J47</f>
        <v>1194.82921022223</v>
      </c>
      <c r="M47" s="25" t="n">
        <f aca="false">MAX(1,ROUND(B47/L47,0))</f>
        <v>998</v>
      </c>
      <c r="N47" s="25" t="n">
        <f aca="false">MAX(1,ROUND(M47*ตั้งค่า!$C$26*(1-ตั้งค่า!$C$27),0))</f>
        <v>399</v>
      </c>
      <c r="O47" s="25" t="n">
        <f aca="false">MAX(1,ROUND(M47*ตั้งค่า!$C$26*(1+ตั้งค่า!$C$27),0))</f>
        <v>599</v>
      </c>
      <c r="P47" s="25" t="n">
        <f aca="false">ROUNDUP(B47/M47,0)</f>
        <v>1195</v>
      </c>
      <c r="Q47" s="27" t="n">
        <f aca="false">P47*J47/60</f>
        <v>135.433333333333</v>
      </c>
      <c r="R47" s="26" t="n">
        <f aca="false">R46+Q46/60</f>
        <v>31.5482222222222</v>
      </c>
    </row>
    <row r="48" customFormat="false" ht="15" hidden="false" customHeight="false" outlineLevel="0" collapsed="false">
      <c r="A48" s="3" t="n">
        <v>44</v>
      </c>
      <c r="B48" s="25" t="n">
        <f aca="false">ROUND(ตั้งค่า!$C$24*A48^ตั้งค่า!$C$25,0)</f>
        <v>1277760</v>
      </c>
      <c r="C48" s="25" t="n">
        <f aca="false">C47+B47</f>
        <v>13423740</v>
      </c>
      <c r="D48" s="26" t="n">
        <f aca="false">ROUND((ตั้งค่า!$C$12+ตั้งค่า!$C$13*A48)*(1+ตั้งค่า!$C$14)^(A48-1),1)</f>
        <v>229.6</v>
      </c>
      <c r="E48" s="25" t="n">
        <f aca="false">ROUND((ตั้งค่า!$C$15+ตั้งค่า!$C$16*A48)*(1+ตั้งค่า!$C$17)^(A48-1),0)</f>
        <v>1005</v>
      </c>
      <c r="F48" s="25" t="n">
        <f aca="false">ROUND(D48*ตั้งค่า!$C$22,0)</f>
        <v>11</v>
      </c>
      <c r="G48" s="26" t="n">
        <f aca="false">MAX(1,D48-F48)</f>
        <v>218.6</v>
      </c>
      <c r="H48" s="25" t="n">
        <f aca="false">ROUND(ตั้งค่า!$C$20*G48,0)</f>
        <v>874</v>
      </c>
      <c r="I48" s="25" t="n">
        <f aca="false">MAX(1,ROUND(E48/ตั้งค่า!$C$23,0))</f>
        <v>84</v>
      </c>
      <c r="J48" s="27" t="n">
        <f aca="false">ตั้งค่า!$C$20*ตั้งค่า!$C$18+ตั้งค่า!$C$21</f>
        <v>6.8</v>
      </c>
      <c r="K48" s="27" t="n">
        <f aca="false">ตั้งค่า!$C$10*A48^ตั้งค่า!$C$8+ตั้งค่า!$C$9</f>
        <v>141.757306532663</v>
      </c>
      <c r="L48" s="25" t="n">
        <f aca="false">K48*60/J48</f>
        <v>1250.7997635235</v>
      </c>
      <c r="M48" s="25" t="n">
        <f aca="false">MAX(1,ROUND(B48/L48,0))</f>
        <v>1022</v>
      </c>
      <c r="N48" s="25" t="n">
        <f aca="false">MAX(1,ROUND(M48*ตั้งค่า!$C$26*(1-ตั้งค่า!$C$27),0))</f>
        <v>409</v>
      </c>
      <c r="O48" s="25" t="n">
        <f aca="false">MAX(1,ROUND(M48*ตั้งค่า!$C$26*(1+ตั้งค่า!$C$27),0))</f>
        <v>613</v>
      </c>
      <c r="P48" s="25" t="n">
        <f aca="false">ROUNDUP(B48/M48,0)</f>
        <v>1251</v>
      </c>
      <c r="Q48" s="27" t="n">
        <f aca="false">P48*J48/60</f>
        <v>141.78</v>
      </c>
      <c r="R48" s="26" t="n">
        <f aca="false">R47+Q47/60</f>
        <v>33.8054444444444</v>
      </c>
    </row>
    <row r="49" customFormat="false" ht="15" hidden="false" customHeight="false" outlineLevel="0" collapsed="false">
      <c r="A49" s="3" t="n">
        <v>45</v>
      </c>
      <c r="B49" s="25" t="n">
        <f aca="false">ROUND(ตั้งค่า!$C$24*A49^ตั้งค่า!$C$25,0)</f>
        <v>1366875</v>
      </c>
      <c r="C49" s="25" t="n">
        <f aca="false">C48+B48</f>
        <v>14701500</v>
      </c>
      <c r="D49" s="26" t="n">
        <f aca="false">ROUND((ตั้งค่า!$C$12+ตั้งค่า!$C$13*A49)*(1+ตั้งค่า!$C$14)^(A49-1),1)</f>
        <v>239</v>
      </c>
      <c r="E49" s="25" t="n">
        <f aca="false">ROUND((ตั้งค่า!$C$15+ตั้งค่า!$C$16*A49)*(1+ตั้งค่า!$C$17)^(A49-1),0)</f>
        <v>1040</v>
      </c>
      <c r="F49" s="25" t="n">
        <f aca="false">ROUND(D49*ตั้งค่า!$C$22,0)</f>
        <v>12</v>
      </c>
      <c r="G49" s="26" t="n">
        <f aca="false">MAX(1,D49-F49)</f>
        <v>227</v>
      </c>
      <c r="H49" s="25" t="n">
        <f aca="false">ROUND(ตั้งค่า!$C$20*G49,0)</f>
        <v>908</v>
      </c>
      <c r="I49" s="25" t="n">
        <f aca="false">MAX(1,ROUND(E49/ตั้งค่า!$C$23,0))</f>
        <v>87</v>
      </c>
      <c r="J49" s="27" t="n">
        <f aca="false">ตั้งค่า!$C$20*ตั้งค่า!$C$18+ตั้งค่า!$C$21</f>
        <v>6.8</v>
      </c>
      <c r="K49" s="27" t="n">
        <f aca="false">ตั้งค่า!$C$10*A49^ตั้งค่า!$C$8+ตั้งค่า!$C$9</f>
        <v>148.24645957058</v>
      </c>
      <c r="L49" s="25" t="n">
        <f aca="false">K49*60/J49</f>
        <v>1308.056996211</v>
      </c>
      <c r="M49" s="25" t="n">
        <f aca="false">MAX(1,ROUND(B49/L49,0))</f>
        <v>1045</v>
      </c>
      <c r="N49" s="25" t="n">
        <f aca="false">MAX(1,ROUND(M49*ตั้งค่า!$C$26*(1-ตั้งค่า!$C$27),0))</f>
        <v>418</v>
      </c>
      <c r="O49" s="25" t="n">
        <f aca="false">MAX(1,ROUND(M49*ตั้งค่า!$C$26*(1+ตั้งค่า!$C$27),0))</f>
        <v>627</v>
      </c>
      <c r="P49" s="25" t="n">
        <f aca="false">ROUNDUP(B49/M49,0)</f>
        <v>1309</v>
      </c>
      <c r="Q49" s="27" t="n">
        <f aca="false">P49*J49/60</f>
        <v>148.353333333333</v>
      </c>
      <c r="R49" s="26" t="n">
        <f aca="false">R48+Q48/60</f>
        <v>36.1684444444444</v>
      </c>
    </row>
    <row r="50" customFormat="false" ht="15" hidden="false" customHeight="false" outlineLevel="0" collapsed="false">
      <c r="A50" s="3" t="n">
        <v>46</v>
      </c>
      <c r="B50" s="25" t="n">
        <f aca="false">ROUND(ตั้งค่า!$C$24*A50^ตั้งค่า!$C$25,0)</f>
        <v>1460040</v>
      </c>
      <c r="C50" s="25" t="n">
        <f aca="false">C49+B49</f>
        <v>16068375</v>
      </c>
      <c r="D50" s="26" t="n">
        <f aca="false">ROUND((ตั้งค่า!$C$12+ตั้งค่า!$C$13*A50)*(1+ตั้งค่า!$C$14)^(A50-1),1)</f>
        <v>248.7</v>
      </c>
      <c r="E50" s="25" t="n">
        <f aca="false">ROUND((ตั้งค่า!$C$15+ตั้งค่า!$C$16*A50)*(1+ตั้งค่า!$C$17)^(A50-1),0)</f>
        <v>1075</v>
      </c>
      <c r="F50" s="25" t="n">
        <f aca="false">ROUND(D50*ตั้งค่า!$C$22,0)</f>
        <v>12</v>
      </c>
      <c r="G50" s="26" t="n">
        <f aca="false">MAX(1,D50-F50)</f>
        <v>236.7</v>
      </c>
      <c r="H50" s="25" t="n">
        <f aca="false">ROUND(ตั้งค่า!$C$20*G50,0)</f>
        <v>947</v>
      </c>
      <c r="I50" s="25" t="n">
        <f aca="false">MAX(1,ROUND(E50/ตั้งค่า!$C$23,0))</f>
        <v>90</v>
      </c>
      <c r="J50" s="27" t="n">
        <f aca="false">ตั้งค่า!$C$20*ตั้งค่า!$C$18+ตั้งค่า!$C$21</f>
        <v>6.8</v>
      </c>
      <c r="K50" s="27" t="n">
        <f aca="false">ตั้งค่า!$C$10*A50^ตั้งค่า!$C$8+ตั้งค่า!$C$9</f>
        <v>154.88143627227</v>
      </c>
      <c r="L50" s="25" t="n">
        <f aca="false">K50*60/J50</f>
        <v>1366.60090828474</v>
      </c>
      <c r="M50" s="25" t="n">
        <f aca="false">MAX(1,ROUND(B50/L50,0))</f>
        <v>1068</v>
      </c>
      <c r="N50" s="25" t="n">
        <f aca="false">MAX(1,ROUND(M50*ตั้งค่า!$C$26*(1-ตั้งค่า!$C$27),0))</f>
        <v>427</v>
      </c>
      <c r="O50" s="25" t="n">
        <f aca="false">MAX(1,ROUND(M50*ตั้งค่า!$C$26*(1+ตั้งค่า!$C$27),0))</f>
        <v>641</v>
      </c>
      <c r="P50" s="25" t="n">
        <f aca="false">ROUNDUP(B50/M50,0)</f>
        <v>1368</v>
      </c>
      <c r="Q50" s="27" t="n">
        <f aca="false">P50*J50/60</f>
        <v>155.04</v>
      </c>
      <c r="R50" s="26" t="n">
        <f aca="false">R49+Q49/60</f>
        <v>38.641</v>
      </c>
    </row>
    <row r="51" customFormat="false" ht="15" hidden="false" customHeight="false" outlineLevel="0" collapsed="false">
      <c r="A51" s="3" t="n">
        <v>47</v>
      </c>
      <c r="B51" s="25" t="n">
        <f aca="false">ROUND(ตั้งค่า!$C$24*A51^ตั้งค่า!$C$25,0)</f>
        <v>1557345</v>
      </c>
      <c r="C51" s="25" t="n">
        <f aca="false">C50+B50</f>
        <v>17528415</v>
      </c>
      <c r="D51" s="26" t="n">
        <f aca="false">ROUND((ตั้งค่า!$C$12+ตั้งค่า!$C$13*A51)*(1+ตั้งค่า!$C$14)^(A51-1),1)</f>
        <v>258.6</v>
      </c>
      <c r="E51" s="25" t="n">
        <f aca="false">ROUND((ตั้งค่า!$C$15+ตั้งค่า!$C$16*A51)*(1+ตั้งค่า!$C$17)^(A51-1),0)</f>
        <v>1111</v>
      </c>
      <c r="F51" s="25" t="n">
        <f aca="false">ROUND(D51*ตั้งค่า!$C$22,0)</f>
        <v>13</v>
      </c>
      <c r="G51" s="26" t="n">
        <f aca="false">MAX(1,D51-F51)</f>
        <v>245.6</v>
      </c>
      <c r="H51" s="25" t="n">
        <f aca="false">ROUND(ตั้งค่า!$C$20*G51,0)</f>
        <v>982</v>
      </c>
      <c r="I51" s="25" t="n">
        <f aca="false">MAX(1,ROUND(E51/ตั้งค่า!$C$23,0))</f>
        <v>93</v>
      </c>
      <c r="J51" s="27" t="n">
        <f aca="false">ตั้งค่า!$C$20*ตั้งค่า!$C$18+ตั้งค่า!$C$21</f>
        <v>6.8</v>
      </c>
      <c r="K51" s="27" t="n">
        <f aca="false">ตั้งค่า!$C$10*A51^ตั้งค่า!$C$8+ตั้งค่า!$C$9</f>
        <v>161.662236637734</v>
      </c>
      <c r="L51" s="25" t="n">
        <f aca="false">K51*60/J51</f>
        <v>1426.43149974471</v>
      </c>
      <c r="M51" s="25" t="n">
        <f aca="false">MAX(1,ROUND(B51/L51,0))</f>
        <v>1092</v>
      </c>
      <c r="N51" s="25" t="n">
        <f aca="false">MAX(1,ROUND(M51*ตั้งค่า!$C$26*(1-ตั้งค่า!$C$27),0))</f>
        <v>437</v>
      </c>
      <c r="O51" s="25" t="n">
        <f aca="false">MAX(1,ROUND(M51*ตั้งค่า!$C$26*(1+ตั้งค่า!$C$27),0))</f>
        <v>655</v>
      </c>
      <c r="P51" s="25" t="n">
        <f aca="false">ROUNDUP(B51/M51,0)</f>
        <v>1427</v>
      </c>
      <c r="Q51" s="27" t="n">
        <f aca="false">P51*J51/60</f>
        <v>161.726666666667</v>
      </c>
      <c r="R51" s="26" t="n">
        <f aca="false">R50+Q50/60</f>
        <v>41.225</v>
      </c>
    </row>
    <row r="52" customFormat="false" ht="15" hidden="false" customHeight="false" outlineLevel="0" collapsed="false">
      <c r="A52" s="3" t="n">
        <v>48</v>
      </c>
      <c r="B52" s="25" t="n">
        <f aca="false">ROUND(ตั้งค่า!$C$24*A52^ตั้งค่า!$C$25,0)</f>
        <v>1658880</v>
      </c>
      <c r="C52" s="25" t="n">
        <f aca="false">C51+B51</f>
        <v>19085760</v>
      </c>
      <c r="D52" s="26" t="n">
        <f aca="false">ROUND((ตั้งค่า!$C$12+ตั้งค่า!$C$13*A52)*(1+ตั้งค่า!$C$14)^(A52-1),1)</f>
        <v>268.9</v>
      </c>
      <c r="E52" s="25" t="n">
        <f aca="false">ROUND((ตั้งค่า!$C$15+ตั้งค่า!$C$16*A52)*(1+ตั้งค่า!$C$17)^(A52-1),0)</f>
        <v>1148</v>
      </c>
      <c r="F52" s="25" t="n">
        <f aca="false">ROUND(D52*ตั้งค่า!$C$22,0)</f>
        <v>13</v>
      </c>
      <c r="G52" s="26" t="n">
        <f aca="false">MAX(1,D52-F52)</f>
        <v>255.9</v>
      </c>
      <c r="H52" s="25" t="n">
        <f aca="false">ROUND(ตั้งค่า!$C$20*G52,0)</f>
        <v>1024</v>
      </c>
      <c r="I52" s="25" t="n">
        <f aca="false">MAX(1,ROUND(E52/ตั้งค่า!$C$23,0))</f>
        <v>96</v>
      </c>
      <c r="J52" s="27" t="n">
        <f aca="false">ตั้งค่า!$C$20*ตั้งค่า!$C$18+ตั้งค่า!$C$21</f>
        <v>6.8</v>
      </c>
      <c r="K52" s="27" t="n">
        <f aca="false">ตั้งค่า!$C$10*A52^ตั้งค่า!$C$8+ตั้งค่า!$C$9</f>
        <v>168.588860666971</v>
      </c>
      <c r="L52" s="25" t="n">
        <f aca="false">K52*60/J52</f>
        <v>1487.54877059092</v>
      </c>
      <c r="M52" s="25" t="n">
        <f aca="false">MAX(1,ROUND(B52/L52,0))</f>
        <v>1115</v>
      </c>
      <c r="N52" s="25" t="n">
        <f aca="false">MAX(1,ROUND(M52*ตั้งค่า!$C$26*(1-ตั้งค่า!$C$27),0))</f>
        <v>446</v>
      </c>
      <c r="O52" s="25" t="n">
        <f aca="false">MAX(1,ROUND(M52*ตั้งค่า!$C$26*(1+ตั้งค่า!$C$27),0))</f>
        <v>669</v>
      </c>
      <c r="P52" s="25" t="n">
        <f aca="false">ROUNDUP(B52/M52,0)</f>
        <v>1488</v>
      </c>
      <c r="Q52" s="27" t="n">
        <f aca="false">P52*J52/60</f>
        <v>168.64</v>
      </c>
      <c r="R52" s="26" t="n">
        <f aca="false">R51+Q51/60</f>
        <v>43.9204444444445</v>
      </c>
    </row>
    <row r="53" customFormat="false" ht="15" hidden="false" customHeight="false" outlineLevel="0" collapsed="false">
      <c r="A53" s="3" t="n">
        <v>49</v>
      </c>
      <c r="B53" s="25" t="n">
        <f aca="false">ROUND(ตั้งค่า!$C$24*A53^ตั้งค่า!$C$25,0)</f>
        <v>1764735</v>
      </c>
      <c r="C53" s="25" t="n">
        <f aca="false">C52+B52</f>
        <v>20744640</v>
      </c>
      <c r="D53" s="26" t="n">
        <f aca="false">ROUND((ตั้งค่า!$C$12+ตั้งค่า!$C$13*A53)*(1+ตั้งค่า!$C$14)^(A53-1),1)</f>
        <v>279.4</v>
      </c>
      <c r="E53" s="25" t="n">
        <f aca="false">ROUND((ตั้งค่า!$C$15+ตั้งค่า!$C$16*A53)*(1+ตั้งค่า!$C$17)^(A53-1),0)</f>
        <v>1185</v>
      </c>
      <c r="F53" s="25" t="n">
        <f aca="false">ROUND(D53*ตั้งค่า!$C$22,0)</f>
        <v>14</v>
      </c>
      <c r="G53" s="26" t="n">
        <f aca="false">MAX(1,D53-F53)</f>
        <v>265.4</v>
      </c>
      <c r="H53" s="25" t="n">
        <f aca="false">ROUND(ตั้งค่า!$C$20*G53,0)</f>
        <v>1062</v>
      </c>
      <c r="I53" s="25" t="n">
        <f aca="false">MAX(1,ROUND(E53/ตั้งค่า!$C$23,0))</f>
        <v>99</v>
      </c>
      <c r="J53" s="27" t="n">
        <f aca="false">ตั้งค่า!$C$20*ตั้งค่า!$C$18+ตั้งค่า!$C$21</f>
        <v>6.8</v>
      </c>
      <c r="K53" s="27" t="n">
        <f aca="false">ตั้งค่า!$C$10*A53^ตั้งค่า!$C$8+ตั้งค่า!$C$9</f>
        <v>175.661308359982</v>
      </c>
      <c r="L53" s="25" t="n">
        <f aca="false">K53*60/J53</f>
        <v>1549.95272082337</v>
      </c>
      <c r="M53" s="25" t="n">
        <f aca="false">MAX(1,ROUND(B53/L53,0))</f>
        <v>1139</v>
      </c>
      <c r="N53" s="25" t="n">
        <f aca="false">MAX(1,ROUND(M53*ตั้งค่า!$C$26*(1-ตั้งค่า!$C$27),0))</f>
        <v>456</v>
      </c>
      <c r="O53" s="25" t="n">
        <f aca="false">MAX(1,ROUND(M53*ตั้งค่า!$C$26*(1+ตั้งค่า!$C$27),0))</f>
        <v>683</v>
      </c>
      <c r="P53" s="25" t="n">
        <f aca="false">ROUNDUP(B53/M53,0)</f>
        <v>1550</v>
      </c>
      <c r="Q53" s="27" t="n">
        <f aca="false">P53*J53/60</f>
        <v>175.666666666667</v>
      </c>
      <c r="R53" s="26" t="n">
        <f aca="false">R52+Q52/60</f>
        <v>46.7311111111111</v>
      </c>
    </row>
    <row r="54" customFormat="false" ht="15" hidden="false" customHeight="false" outlineLevel="0" collapsed="false">
      <c r="A54" s="3" t="n">
        <v>50</v>
      </c>
      <c r="B54" s="25" t="n">
        <f aca="false">ROUND(ตั้งค่า!$C$24*A54^ตั้งค่า!$C$25,0)</f>
        <v>1875000</v>
      </c>
      <c r="C54" s="25" t="n">
        <f aca="false">C53+B53</f>
        <v>22509375</v>
      </c>
      <c r="D54" s="26" t="n">
        <f aca="false">ROUND((ตั้งค่า!$C$12+ตั้งค่า!$C$13*A54)*(1+ตั้งค่า!$C$14)^(A54-1),1)</f>
        <v>290.3</v>
      </c>
      <c r="E54" s="25" t="n">
        <f aca="false">ROUND((ตั้งค่า!$C$15+ตั้งค่า!$C$16*A54)*(1+ตั้งค่า!$C$17)^(A54-1),0)</f>
        <v>1224</v>
      </c>
      <c r="F54" s="25" t="n">
        <f aca="false">ROUND(D54*ตั้งค่า!$C$22,0)</f>
        <v>15</v>
      </c>
      <c r="G54" s="26" t="n">
        <f aca="false">MAX(1,D54-F54)</f>
        <v>275.3</v>
      </c>
      <c r="H54" s="25" t="n">
        <f aca="false">ROUND(ตั้งค่า!$C$20*G54,0)</f>
        <v>1101</v>
      </c>
      <c r="I54" s="25" t="n">
        <f aca="false">MAX(1,ROUND(E54/ตั้งค่า!$C$23,0))</f>
        <v>102</v>
      </c>
      <c r="J54" s="27" t="n">
        <f aca="false">ตั้งค่า!$C$20*ตั้งค่า!$C$18+ตั้งค่า!$C$21</f>
        <v>6.8</v>
      </c>
      <c r="K54" s="27" t="n">
        <f aca="false">ตั้งค่า!$C$10*A54^ตั้งค่า!$C$8+ตั้งค่า!$C$9</f>
        <v>182.879579716766</v>
      </c>
      <c r="L54" s="25" t="n">
        <f aca="false">K54*60/J54</f>
        <v>1613.64335044205</v>
      </c>
      <c r="M54" s="25" t="n">
        <f aca="false">MAX(1,ROUND(B54/L54,0))</f>
        <v>1162</v>
      </c>
      <c r="N54" s="25" t="n">
        <f aca="false">MAX(1,ROUND(M54*ตั้งค่า!$C$26*(1-ตั้งค่า!$C$27),0))</f>
        <v>465</v>
      </c>
      <c r="O54" s="25" t="n">
        <f aca="false">MAX(1,ROUND(M54*ตั้งค่า!$C$26*(1+ตั้งค่า!$C$27),0))</f>
        <v>697</v>
      </c>
      <c r="P54" s="25" t="n">
        <f aca="false">ROUNDUP(B54/M54,0)</f>
        <v>1614</v>
      </c>
      <c r="Q54" s="27" t="n">
        <f aca="false">P54*J54/60</f>
        <v>182.92</v>
      </c>
      <c r="R54" s="26" t="n">
        <f aca="false">R53+Q53/60</f>
        <v>49.6588888888889</v>
      </c>
    </row>
    <row r="55" customFormat="false" ht="15" hidden="false" customHeight="false" outlineLevel="0" collapsed="false">
      <c r="A55" s="3" t="n">
        <v>51</v>
      </c>
      <c r="B55" s="25" t="n">
        <f aca="false">ROUND(ตั้งค่า!$C$24*A55^ตั้งค่า!$C$25,0)</f>
        <v>1989765</v>
      </c>
      <c r="C55" s="25" t="n">
        <f aca="false">C54+B54</f>
        <v>24384375</v>
      </c>
      <c r="D55" s="26" t="n">
        <f aca="false">ROUND((ตั้งค่า!$C$12+ตั้งค่า!$C$13*A55)*(1+ตั้งค่า!$C$14)^(A55-1),1)</f>
        <v>301.5</v>
      </c>
      <c r="E55" s="25" t="n">
        <f aca="false">ROUND((ตั้งค่า!$C$15+ตั้งค่า!$C$16*A55)*(1+ตั้งค่า!$C$17)^(A55-1),0)</f>
        <v>1263</v>
      </c>
      <c r="F55" s="25" t="n">
        <f aca="false">ROUND(D55*ตั้งค่า!$C$22,0)</f>
        <v>15</v>
      </c>
      <c r="G55" s="26" t="n">
        <f aca="false">MAX(1,D55-F55)</f>
        <v>286.5</v>
      </c>
      <c r="H55" s="25" t="n">
        <f aca="false">ROUND(ตั้งค่า!$C$20*G55,0)</f>
        <v>1146</v>
      </c>
      <c r="I55" s="25" t="n">
        <f aca="false">MAX(1,ROUND(E55/ตั้งค่า!$C$23,0))</f>
        <v>105</v>
      </c>
      <c r="J55" s="27" t="n">
        <f aca="false">ตั้งค่า!$C$20*ตั้งค่า!$C$18+ตั้งค่า!$C$21</f>
        <v>6.8</v>
      </c>
      <c r="K55" s="27" t="n">
        <f aca="false">ตั้งค่า!$C$10*A55^ตั้งค่า!$C$8+ตั้งค่า!$C$9</f>
        <v>190.243674737323</v>
      </c>
      <c r="L55" s="25" t="n">
        <f aca="false">K55*60/J55</f>
        <v>1678.62065944697</v>
      </c>
      <c r="M55" s="25" t="n">
        <f aca="false">MAX(1,ROUND(B55/L55,0))</f>
        <v>1185</v>
      </c>
      <c r="N55" s="25" t="n">
        <f aca="false">MAX(1,ROUND(M55*ตั้งค่า!$C$26*(1-ตั้งค่า!$C$27),0))</f>
        <v>474</v>
      </c>
      <c r="O55" s="25" t="n">
        <f aca="false">MAX(1,ROUND(M55*ตั้งค่า!$C$26*(1+ตั้งค่า!$C$27),0))</f>
        <v>711</v>
      </c>
      <c r="P55" s="25" t="n">
        <f aca="false">ROUNDUP(B55/M55,0)</f>
        <v>1680</v>
      </c>
      <c r="Q55" s="27" t="n">
        <f aca="false">P55*J55/60</f>
        <v>190.4</v>
      </c>
      <c r="R55" s="26" t="n">
        <f aca="false">R54+Q54/60</f>
        <v>52.7075555555556</v>
      </c>
    </row>
    <row r="56" customFormat="false" ht="15" hidden="false" customHeight="false" outlineLevel="0" collapsed="false">
      <c r="A56" s="3" t="n">
        <v>52</v>
      </c>
      <c r="B56" s="25" t="n">
        <f aca="false">ROUND(ตั้งค่า!$C$24*A56^ตั้งค่า!$C$25,0)</f>
        <v>2109120</v>
      </c>
      <c r="C56" s="25" t="n">
        <f aca="false">C55+B55</f>
        <v>26374140</v>
      </c>
      <c r="D56" s="26" t="n">
        <f aca="false">ROUND((ตั้งค่า!$C$12+ตั้งค่า!$C$13*A56)*(1+ตั้งค่า!$C$14)^(A56-1),1)</f>
        <v>313</v>
      </c>
      <c r="E56" s="25" t="n">
        <f aca="false">ROUND((ตั้งค่า!$C$15+ตั้งค่า!$C$16*A56)*(1+ตั้งค่า!$C$17)^(A56-1),0)</f>
        <v>1303</v>
      </c>
      <c r="F56" s="25" t="n">
        <f aca="false">ROUND(D56*ตั้งค่า!$C$22,0)</f>
        <v>16</v>
      </c>
      <c r="G56" s="26" t="n">
        <f aca="false">MAX(1,D56-F56)</f>
        <v>297</v>
      </c>
      <c r="H56" s="25" t="n">
        <f aca="false">ROUND(ตั้งค่า!$C$20*G56,0)</f>
        <v>1188</v>
      </c>
      <c r="I56" s="25" t="n">
        <f aca="false">MAX(1,ROUND(E56/ตั้งค่า!$C$23,0))</f>
        <v>109</v>
      </c>
      <c r="J56" s="27" t="n">
        <f aca="false">ตั้งค่า!$C$20*ตั้งค่า!$C$18+ตั้งค่า!$C$21</f>
        <v>6.8</v>
      </c>
      <c r="K56" s="27" t="n">
        <f aca="false">ตั้งค่า!$C$10*A56^ตั้งค่า!$C$8+ตั้งค่า!$C$9</f>
        <v>197.753593421654</v>
      </c>
      <c r="L56" s="25" t="n">
        <f aca="false">K56*60/J56</f>
        <v>1744.88464783812</v>
      </c>
      <c r="M56" s="25" t="n">
        <f aca="false">MAX(1,ROUND(B56/L56,0))</f>
        <v>1209</v>
      </c>
      <c r="N56" s="25" t="n">
        <f aca="false">MAX(1,ROUND(M56*ตั้งค่า!$C$26*(1-ตั้งค่า!$C$27),0))</f>
        <v>484</v>
      </c>
      <c r="O56" s="25" t="n">
        <f aca="false">MAX(1,ROUND(M56*ตั้งค่า!$C$26*(1+ตั้งค่า!$C$27),0))</f>
        <v>725</v>
      </c>
      <c r="P56" s="25" t="n">
        <f aca="false">ROUNDUP(B56/M56,0)</f>
        <v>1745</v>
      </c>
      <c r="Q56" s="27" t="n">
        <f aca="false">P56*J56/60</f>
        <v>197.766666666667</v>
      </c>
      <c r="R56" s="26" t="n">
        <f aca="false">R55+Q55/60</f>
        <v>55.8808888888889</v>
      </c>
    </row>
    <row r="57" customFormat="false" ht="15" hidden="false" customHeight="false" outlineLevel="0" collapsed="false">
      <c r="A57" s="3" t="n">
        <v>53</v>
      </c>
      <c r="B57" s="25" t="n">
        <f aca="false">ROUND(ตั้งค่า!$C$24*A57^ตั้งค่า!$C$25,0)</f>
        <v>2233155</v>
      </c>
      <c r="C57" s="25" t="n">
        <f aca="false">C56+B56</f>
        <v>28483260</v>
      </c>
      <c r="D57" s="26" t="n">
        <f aca="false">ROUND((ตั้งค่า!$C$12+ตั้งค่า!$C$13*A57)*(1+ตั้งค่า!$C$14)^(A57-1),1)</f>
        <v>324.8</v>
      </c>
      <c r="E57" s="25" t="n">
        <f aca="false">ROUND((ตั้งค่า!$C$15+ตั้งค่า!$C$16*A57)*(1+ตั้งค่า!$C$17)^(A57-1),0)</f>
        <v>1345</v>
      </c>
      <c r="F57" s="25" t="n">
        <f aca="false">ROUND(D57*ตั้งค่า!$C$22,0)</f>
        <v>16</v>
      </c>
      <c r="G57" s="26" t="n">
        <f aca="false">MAX(1,D57-F57)</f>
        <v>308.8</v>
      </c>
      <c r="H57" s="25" t="n">
        <f aca="false">ROUND(ตั้งค่า!$C$20*G57,0)</f>
        <v>1235</v>
      </c>
      <c r="I57" s="25" t="n">
        <f aca="false">MAX(1,ROUND(E57/ตั้งค่า!$C$23,0))</f>
        <v>112</v>
      </c>
      <c r="J57" s="27" t="n">
        <f aca="false">ตั้งค่า!$C$20*ตั้งค่า!$C$18+ตั้งค่า!$C$21</f>
        <v>6.8</v>
      </c>
      <c r="K57" s="27" t="n">
        <f aca="false">ตั้งค่า!$C$10*A57^ตั้งค่า!$C$8+ตั้งค่า!$C$9</f>
        <v>205.409335769758</v>
      </c>
      <c r="L57" s="25" t="n">
        <f aca="false">K57*60/J57</f>
        <v>1812.43531561551</v>
      </c>
      <c r="M57" s="25" t="n">
        <f aca="false">MAX(1,ROUND(B57/L57,0))</f>
        <v>1232</v>
      </c>
      <c r="N57" s="25" t="n">
        <f aca="false">MAX(1,ROUND(M57*ตั้งค่า!$C$26*(1-ตั้งค่า!$C$27),0))</f>
        <v>493</v>
      </c>
      <c r="O57" s="25" t="n">
        <f aca="false">MAX(1,ROUND(M57*ตั้งค่า!$C$26*(1+ตั้งค่า!$C$27),0))</f>
        <v>739</v>
      </c>
      <c r="P57" s="25" t="n">
        <f aca="false">ROUNDUP(B57/M57,0)</f>
        <v>1813</v>
      </c>
      <c r="Q57" s="27" t="n">
        <f aca="false">P57*J57/60</f>
        <v>205.473333333333</v>
      </c>
      <c r="R57" s="26" t="n">
        <f aca="false">R56+Q56/60</f>
        <v>59.177</v>
      </c>
    </row>
    <row r="58" customFormat="false" ht="15" hidden="false" customHeight="false" outlineLevel="0" collapsed="false">
      <c r="A58" s="3" t="n">
        <v>54</v>
      </c>
      <c r="B58" s="25" t="n">
        <f aca="false">ROUND(ตั้งค่า!$C$24*A58^ตั้งค่า!$C$25,0)</f>
        <v>2361960</v>
      </c>
      <c r="C58" s="25" t="n">
        <f aca="false">C57+B57</f>
        <v>30716415</v>
      </c>
      <c r="D58" s="26" t="n">
        <f aca="false">ROUND((ตั้งค่า!$C$12+ตั้งค่า!$C$13*A58)*(1+ตั้งค่า!$C$14)^(A58-1),1)</f>
        <v>337</v>
      </c>
      <c r="E58" s="25" t="n">
        <f aca="false">ROUND((ตั้งค่า!$C$15+ตั้งค่า!$C$16*A58)*(1+ตั้งค่า!$C$17)^(A58-1),0)</f>
        <v>1387</v>
      </c>
      <c r="F58" s="25" t="n">
        <f aca="false">ROUND(D58*ตั้งค่า!$C$22,0)</f>
        <v>17</v>
      </c>
      <c r="G58" s="26" t="n">
        <f aca="false">MAX(1,D58-F58)</f>
        <v>320</v>
      </c>
      <c r="H58" s="25" t="n">
        <f aca="false">ROUND(ตั้งค่า!$C$20*G58,0)</f>
        <v>1280</v>
      </c>
      <c r="I58" s="25" t="n">
        <f aca="false">MAX(1,ROUND(E58/ตั้งค่า!$C$23,0))</f>
        <v>116</v>
      </c>
      <c r="J58" s="27" t="n">
        <f aca="false">ตั้งค่า!$C$20*ตั้งค่า!$C$18+ตั้งค่า!$C$21</f>
        <v>6.8</v>
      </c>
      <c r="K58" s="27" t="n">
        <f aca="false">ตั้งค่า!$C$10*A58^ตั้งค่า!$C$8+ตั้งค่า!$C$9</f>
        <v>213.210901781635</v>
      </c>
      <c r="L58" s="25" t="n">
        <f aca="false">K58*60/J58</f>
        <v>1881.27266277914</v>
      </c>
      <c r="M58" s="25" t="n">
        <f aca="false">MAX(1,ROUND(B58/L58,0))</f>
        <v>1256</v>
      </c>
      <c r="N58" s="25" t="n">
        <f aca="false">MAX(1,ROUND(M58*ตั้งค่า!$C$26*(1-ตั้งค่า!$C$27),0))</f>
        <v>502</v>
      </c>
      <c r="O58" s="25" t="n">
        <f aca="false">MAX(1,ROUND(M58*ตั้งค่า!$C$26*(1+ตั้งค่า!$C$27),0))</f>
        <v>754</v>
      </c>
      <c r="P58" s="25" t="n">
        <f aca="false">ROUNDUP(B58/M58,0)</f>
        <v>1881</v>
      </c>
      <c r="Q58" s="27" t="n">
        <f aca="false">P58*J58/60</f>
        <v>213.18</v>
      </c>
      <c r="R58" s="26" t="n">
        <f aca="false">R57+Q57/60</f>
        <v>62.6015555555556</v>
      </c>
    </row>
    <row r="59" customFormat="false" ht="15" hidden="false" customHeight="false" outlineLevel="0" collapsed="false">
      <c r="A59" s="3" t="n">
        <v>55</v>
      </c>
      <c r="B59" s="25" t="n">
        <f aca="false">ROUND(ตั้งค่า!$C$24*A59^ตั้งค่า!$C$25,0)</f>
        <v>2495625</v>
      </c>
      <c r="C59" s="25" t="n">
        <f aca="false">C58+B58</f>
        <v>33078375</v>
      </c>
      <c r="D59" s="26" t="n">
        <f aca="false">ROUND((ตั้งค่า!$C$12+ตั้งค่า!$C$13*A59)*(1+ตั้งค่า!$C$14)^(A59-1),1)</f>
        <v>349.6</v>
      </c>
      <c r="E59" s="25" t="n">
        <f aca="false">ROUND((ตั้งค่า!$C$15+ตั้งค่า!$C$16*A59)*(1+ตั้งค่า!$C$17)^(A59-1),0)</f>
        <v>1430</v>
      </c>
      <c r="F59" s="25" t="n">
        <f aca="false">ROUND(D59*ตั้งค่า!$C$22,0)</f>
        <v>17</v>
      </c>
      <c r="G59" s="26" t="n">
        <f aca="false">MAX(1,D59-F59)</f>
        <v>332.6</v>
      </c>
      <c r="H59" s="25" t="n">
        <f aca="false">ROUND(ตั้งค่า!$C$20*G59,0)</f>
        <v>1330</v>
      </c>
      <c r="I59" s="25" t="n">
        <f aca="false">MAX(1,ROUND(E59/ตั้งค่า!$C$23,0))</f>
        <v>119</v>
      </c>
      <c r="J59" s="27" t="n">
        <f aca="false">ตั้งค่า!$C$20*ตั้งค่า!$C$18+ตั้งค่า!$C$21</f>
        <v>6.8</v>
      </c>
      <c r="K59" s="27" t="n">
        <f aca="false">ตั้งค่า!$C$10*A59^ตั้งค่า!$C$8+ตั้งค่า!$C$9</f>
        <v>221.158291457286</v>
      </c>
      <c r="L59" s="25" t="n">
        <f aca="false">K59*60/J59</f>
        <v>1951.396689329</v>
      </c>
      <c r="M59" s="25" t="n">
        <f aca="false">MAX(1,ROUND(B59/L59,0))</f>
        <v>1279</v>
      </c>
      <c r="N59" s="25" t="n">
        <f aca="false">MAX(1,ROUND(M59*ตั้งค่า!$C$26*(1-ตั้งค่า!$C$27),0))</f>
        <v>512</v>
      </c>
      <c r="O59" s="25" t="n">
        <f aca="false">MAX(1,ROUND(M59*ตั้งค่า!$C$26*(1+ตั้งค่า!$C$27),0))</f>
        <v>767</v>
      </c>
      <c r="P59" s="25" t="n">
        <f aca="false">ROUNDUP(B59/M59,0)</f>
        <v>1952</v>
      </c>
      <c r="Q59" s="27" t="n">
        <f aca="false">P59*J59/60</f>
        <v>221.226666666667</v>
      </c>
      <c r="R59" s="26" t="n">
        <f aca="false">R58+Q58/60</f>
        <v>66.1545555555556</v>
      </c>
    </row>
    <row r="60" customFormat="false" ht="15" hidden="false" customHeight="false" outlineLevel="0" collapsed="false">
      <c r="A60" s="3" t="n">
        <v>56</v>
      </c>
      <c r="B60" s="25" t="n">
        <f aca="false">ROUND(ตั้งค่า!$C$24*A60^ตั้งค่า!$C$25,0)</f>
        <v>2634240</v>
      </c>
      <c r="C60" s="25" t="n">
        <f aca="false">C59+B59</f>
        <v>35574000</v>
      </c>
      <c r="D60" s="26" t="n">
        <f aca="false">ROUND((ตั้งค่า!$C$12+ตั้งค่า!$C$13*A60)*(1+ตั้งค่า!$C$14)^(A60-1),1)</f>
        <v>362.6</v>
      </c>
      <c r="E60" s="25" t="n">
        <f aca="false">ROUND((ตั้งค่า!$C$15+ตั้งค่า!$C$16*A60)*(1+ตั้งค่า!$C$17)^(A60-1),0)</f>
        <v>1474</v>
      </c>
      <c r="F60" s="25" t="n">
        <f aca="false">ROUND(D60*ตั้งค่า!$C$22,0)</f>
        <v>18</v>
      </c>
      <c r="G60" s="26" t="n">
        <f aca="false">MAX(1,D60-F60)</f>
        <v>344.6</v>
      </c>
      <c r="H60" s="25" t="n">
        <f aca="false">ROUND(ตั้งค่า!$C$20*G60,0)</f>
        <v>1378</v>
      </c>
      <c r="I60" s="25" t="n">
        <f aca="false">MAX(1,ROUND(E60/ตั้งค่า!$C$23,0))</f>
        <v>123</v>
      </c>
      <c r="J60" s="27" t="n">
        <f aca="false">ตั้งค่า!$C$20*ตั้งค่า!$C$18+ตั้งค่า!$C$21</f>
        <v>6.8</v>
      </c>
      <c r="K60" s="27" t="n">
        <f aca="false">ตั้งค่า!$C$10*A60^ตั้งค่า!$C$8+ตั้งค่า!$C$9</f>
        <v>229.251504796711</v>
      </c>
      <c r="L60" s="25" t="n">
        <f aca="false">K60*60/J60</f>
        <v>2022.8073952651</v>
      </c>
      <c r="M60" s="25" t="n">
        <f aca="false">MAX(1,ROUND(B60/L60,0))</f>
        <v>1302</v>
      </c>
      <c r="N60" s="25" t="n">
        <f aca="false">MAX(1,ROUND(M60*ตั้งค่า!$C$26*(1-ตั้งค่า!$C$27),0))</f>
        <v>521</v>
      </c>
      <c r="O60" s="25" t="n">
        <f aca="false">MAX(1,ROUND(M60*ตั้งค่า!$C$26*(1+ตั้งค่า!$C$27),0))</f>
        <v>781</v>
      </c>
      <c r="P60" s="25" t="n">
        <f aca="false">ROUNDUP(B60/M60,0)</f>
        <v>2024</v>
      </c>
      <c r="Q60" s="27" t="n">
        <f aca="false">P60*J60/60</f>
        <v>229.386666666667</v>
      </c>
      <c r="R60" s="26" t="n">
        <f aca="false">R59+Q59/60</f>
        <v>69.8416666666667</v>
      </c>
    </row>
    <row r="61" customFormat="false" ht="15" hidden="false" customHeight="false" outlineLevel="0" collapsed="false">
      <c r="A61" s="3" t="n">
        <v>57</v>
      </c>
      <c r="B61" s="25" t="n">
        <f aca="false">ROUND(ตั้งค่า!$C$24*A61^ตั้งค่า!$C$25,0)</f>
        <v>2777895</v>
      </c>
      <c r="C61" s="25" t="n">
        <f aca="false">C60+B60</f>
        <v>38208240</v>
      </c>
      <c r="D61" s="26" t="n">
        <f aca="false">ROUND((ตั้งค่า!$C$12+ตั้งค่า!$C$13*A61)*(1+ตั้งค่า!$C$14)^(A61-1),1)</f>
        <v>375.9</v>
      </c>
      <c r="E61" s="25" t="n">
        <f aca="false">ROUND((ตั้งค่า!$C$15+ตั้งค่า!$C$16*A61)*(1+ตั้งค่า!$C$17)^(A61-1),0)</f>
        <v>1519</v>
      </c>
      <c r="F61" s="25" t="n">
        <f aca="false">ROUND(D61*ตั้งค่า!$C$22,0)</f>
        <v>19</v>
      </c>
      <c r="G61" s="26" t="n">
        <f aca="false">MAX(1,D61-F61)</f>
        <v>356.9</v>
      </c>
      <c r="H61" s="25" t="n">
        <f aca="false">ROUND(ตั้งค่า!$C$20*G61,0)</f>
        <v>1428</v>
      </c>
      <c r="I61" s="25" t="n">
        <f aca="false">MAX(1,ROUND(E61/ตั้งค่า!$C$23,0))</f>
        <v>127</v>
      </c>
      <c r="J61" s="27" t="n">
        <f aca="false">ตั้งค่า!$C$20*ตั้งค่า!$C$18+ตั้งค่า!$C$21</f>
        <v>6.8</v>
      </c>
      <c r="K61" s="27" t="n">
        <f aca="false">ตั้งค่า!$C$10*A61^ตั้งค่า!$C$8+ตั้งค่า!$C$9</f>
        <v>237.490541799909</v>
      </c>
      <c r="L61" s="25" t="n">
        <f aca="false">K61*60/J61</f>
        <v>2095.50478058743</v>
      </c>
      <c r="M61" s="25" t="n">
        <f aca="false">MAX(1,ROUND(B61/L61,0))</f>
        <v>1326</v>
      </c>
      <c r="N61" s="25" t="n">
        <f aca="false">MAX(1,ROUND(M61*ตั้งค่า!$C$26*(1-ตั้งค่า!$C$27),0))</f>
        <v>530</v>
      </c>
      <c r="O61" s="25" t="n">
        <f aca="false">MAX(1,ROUND(M61*ตั้งค่า!$C$26*(1+ตั้งค่า!$C$27),0))</f>
        <v>796</v>
      </c>
      <c r="P61" s="25" t="n">
        <f aca="false">ROUNDUP(B61/M61,0)</f>
        <v>2095</v>
      </c>
      <c r="Q61" s="27" t="n">
        <f aca="false">P61*J61/60</f>
        <v>237.433333333333</v>
      </c>
      <c r="R61" s="26" t="n">
        <f aca="false">R60+Q60/60</f>
        <v>73.6647777777778</v>
      </c>
    </row>
    <row r="62" customFormat="false" ht="15" hidden="false" customHeight="false" outlineLevel="0" collapsed="false">
      <c r="A62" s="3" t="n">
        <v>58</v>
      </c>
      <c r="B62" s="25" t="n">
        <f aca="false">ROUND(ตั้งค่า!$C$24*A62^ตั้งค่า!$C$25,0)</f>
        <v>2926680</v>
      </c>
      <c r="C62" s="25" t="n">
        <f aca="false">C61+B61</f>
        <v>40986135</v>
      </c>
      <c r="D62" s="26" t="n">
        <f aca="false">ROUND((ตั้งค่า!$C$12+ตั้งค่า!$C$13*A62)*(1+ตั้งค่า!$C$14)^(A62-1),1)</f>
        <v>389.6</v>
      </c>
      <c r="E62" s="25" t="n">
        <f aca="false">ROUND((ตั้งค่า!$C$15+ตั้งค่า!$C$16*A62)*(1+ตั้งค่า!$C$17)^(A62-1),0)</f>
        <v>1565</v>
      </c>
      <c r="F62" s="25" t="n">
        <f aca="false">ROUND(D62*ตั้งค่า!$C$22,0)</f>
        <v>19</v>
      </c>
      <c r="G62" s="26" t="n">
        <f aca="false">MAX(1,D62-F62)</f>
        <v>370.6</v>
      </c>
      <c r="H62" s="25" t="n">
        <f aca="false">ROUND(ตั้งค่า!$C$20*G62,0)</f>
        <v>1482</v>
      </c>
      <c r="I62" s="25" t="n">
        <f aca="false">MAX(1,ROUND(E62/ตั้งค่า!$C$23,0))</f>
        <v>130</v>
      </c>
      <c r="J62" s="27" t="n">
        <f aca="false">ตั้งค่า!$C$20*ตั้งค่า!$C$18+ตั้งค่า!$C$21</f>
        <v>6.8</v>
      </c>
      <c r="K62" s="27" t="n">
        <f aca="false">ตั้งค่า!$C$10*A62^ตั้งค่า!$C$8+ตั้งค่า!$C$9</f>
        <v>245.87540246688</v>
      </c>
      <c r="L62" s="25" t="n">
        <f aca="false">K62*60/J62</f>
        <v>2169.488845296</v>
      </c>
      <c r="M62" s="25" t="n">
        <f aca="false">MAX(1,ROUND(B62/L62,0))</f>
        <v>1349</v>
      </c>
      <c r="N62" s="25" t="n">
        <f aca="false">MAX(1,ROUND(M62*ตั้งค่า!$C$26*(1-ตั้งค่า!$C$27),0))</f>
        <v>540</v>
      </c>
      <c r="O62" s="25" t="n">
        <f aca="false">MAX(1,ROUND(M62*ตั้งค่า!$C$26*(1+ตั้งค่า!$C$27),0))</f>
        <v>809</v>
      </c>
      <c r="P62" s="25" t="n">
        <f aca="false">ROUNDUP(B62/M62,0)</f>
        <v>2170</v>
      </c>
      <c r="Q62" s="27" t="n">
        <f aca="false">P62*J62/60</f>
        <v>245.933333333333</v>
      </c>
      <c r="R62" s="26" t="n">
        <f aca="false">R61+Q61/60</f>
        <v>77.622</v>
      </c>
    </row>
    <row r="63" customFormat="false" ht="15" hidden="false" customHeight="false" outlineLevel="0" collapsed="false">
      <c r="A63" s="3" t="n">
        <v>59</v>
      </c>
      <c r="B63" s="25" t="n">
        <f aca="false">ROUND(ตั้งค่า!$C$24*A63^ตั้งค่า!$C$25,0)</f>
        <v>3080685</v>
      </c>
      <c r="C63" s="25" t="n">
        <f aca="false">C62+B62</f>
        <v>43912815</v>
      </c>
      <c r="D63" s="26" t="n">
        <f aca="false">ROUND((ตั้งค่า!$C$12+ตั้งค่า!$C$13*A63)*(1+ตั้งค่า!$C$14)^(A63-1),1)</f>
        <v>403.7</v>
      </c>
      <c r="E63" s="25" t="n">
        <f aca="false">ROUND((ตั้งค่า!$C$15+ตั้งค่า!$C$16*A63)*(1+ตั้งค่า!$C$17)^(A63-1),0)</f>
        <v>1613</v>
      </c>
      <c r="F63" s="25" t="n">
        <f aca="false">ROUND(D63*ตั้งค่า!$C$22,0)</f>
        <v>20</v>
      </c>
      <c r="G63" s="26" t="n">
        <f aca="false">MAX(1,D63-F63)</f>
        <v>383.7</v>
      </c>
      <c r="H63" s="25" t="n">
        <f aca="false">ROUND(ตั้งค่า!$C$20*G63,0)</f>
        <v>1535</v>
      </c>
      <c r="I63" s="25" t="n">
        <f aca="false">MAX(1,ROUND(E63/ตั้งค่า!$C$23,0))</f>
        <v>134</v>
      </c>
      <c r="J63" s="27" t="n">
        <f aca="false">ตั้งค่า!$C$20*ตั้งค่า!$C$18+ตั้งค่า!$C$21</f>
        <v>6.8</v>
      </c>
      <c r="K63" s="27" t="n">
        <f aca="false">ตั้งค่า!$C$10*A63^ตั้งค่า!$C$8+ตั้งค่า!$C$9</f>
        <v>254.406086797624</v>
      </c>
      <c r="L63" s="25" t="n">
        <f aca="false">K63*60/J63</f>
        <v>2244.7595893908</v>
      </c>
      <c r="M63" s="25" t="n">
        <f aca="false">MAX(1,ROUND(B63/L63,0))</f>
        <v>1372</v>
      </c>
      <c r="N63" s="25" t="n">
        <f aca="false">MAX(1,ROUND(M63*ตั้งค่า!$C$26*(1-ตั้งค่า!$C$27),0))</f>
        <v>549</v>
      </c>
      <c r="O63" s="25" t="n">
        <f aca="false">MAX(1,ROUND(M63*ตั้งค่า!$C$26*(1+ตั้งค่า!$C$27),0))</f>
        <v>823</v>
      </c>
      <c r="P63" s="25" t="n">
        <f aca="false">ROUNDUP(B63/M63,0)</f>
        <v>2246</v>
      </c>
      <c r="Q63" s="27" t="n">
        <f aca="false">P63*J63/60</f>
        <v>254.546666666667</v>
      </c>
      <c r="R63" s="26" t="n">
        <f aca="false">R62+Q62/60</f>
        <v>81.7208888888889</v>
      </c>
    </row>
    <row r="64" customFormat="false" ht="15" hidden="false" customHeight="false" outlineLevel="0" collapsed="false">
      <c r="A64" s="3" t="n">
        <v>60</v>
      </c>
      <c r="B64" s="25" t="n">
        <f aca="false">ROUND(ตั้งค่า!$C$24*A64^ตั้งค่า!$C$25,0)</f>
        <v>3240000</v>
      </c>
      <c r="C64" s="25" t="n">
        <f aca="false">C63+B63</f>
        <v>46993500</v>
      </c>
      <c r="D64" s="26" t="n">
        <f aca="false">ROUND((ตั้งค่า!$C$12+ตั้งค่า!$C$13*A64)*(1+ตั้งค่า!$C$14)^(A64-1),1)</f>
        <v>418.2</v>
      </c>
      <c r="E64" s="25" t="n">
        <f aca="false">ROUND((ตั้งค่า!$C$15+ตั้งค่า!$C$16*A64)*(1+ตั้งค่า!$C$17)^(A64-1),0)</f>
        <v>1661</v>
      </c>
      <c r="F64" s="25" t="n">
        <f aca="false">ROUND(D64*ตั้งค่า!$C$22,0)</f>
        <v>21</v>
      </c>
      <c r="G64" s="26" t="n">
        <f aca="false">MAX(1,D64-F64)</f>
        <v>397.2</v>
      </c>
      <c r="H64" s="25" t="n">
        <f aca="false">ROUND(ตั้งค่า!$C$20*G64,0)</f>
        <v>1589</v>
      </c>
      <c r="I64" s="25" t="n">
        <f aca="false">MAX(1,ROUND(E64/ตั้งค่า!$C$23,0))</f>
        <v>138</v>
      </c>
      <c r="J64" s="27" t="n">
        <f aca="false">ตั้งค่า!$C$20*ตั้งค่า!$C$18+ตั้งค่า!$C$21</f>
        <v>6.8</v>
      </c>
      <c r="K64" s="27" t="n">
        <f aca="false">ตั้งค่า!$C$10*A64^ตั้งค่า!$C$8+ตั้งค่า!$C$9</f>
        <v>263.082594792143</v>
      </c>
      <c r="L64" s="25" t="n">
        <f aca="false">K64*60/J64</f>
        <v>2321.31701287185</v>
      </c>
      <c r="M64" s="25" t="n">
        <f aca="false">MAX(1,ROUND(B64/L64,0))</f>
        <v>1396</v>
      </c>
      <c r="N64" s="25" t="n">
        <f aca="false">MAX(1,ROUND(M64*ตั้งค่า!$C$26*(1-ตั้งค่า!$C$27),0))</f>
        <v>558</v>
      </c>
      <c r="O64" s="25" t="n">
        <f aca="false">MAX(1,ROUND(M64*ตั้งค่า!$C$26*(1+ตั้งค่า!$C$27),0))</f>
        <v>838</v>
      </c>
      <c r="P64" s="25" t="n">
        <f aca="false">ROUNDUP(B64/M64,0)</f>
        <v>2321</v>
      </c>
      <c r="Q64" s="27" t="n">
        <f aca="false">P64*J64/60</f>
        <v>263.046666666667</v>
      </c>
      <c r="R64" s="26" t="n">
        <f aca="false">R63+Q63/60</f>
        <v>85.9633333333334</v>
      </c>
    </row>
    <row r="65" customFormat="false" ht="15" hidden="false" customHeight="false" outlineLevel="0" collapsed="false">
      <c r="A65" s="3" t="n">
        <v>61</v>
      </c>
      <c r="B65" s="25" t="n">
        <f aca="false">ROUND(ตั้งค่า!$C$24*A65^ตั้งค่า!$C$25,0)</f>
        <v>3404715</v>
      </c>
      <c r="C65" s="25" t="n">
        <f aca="false">C64+B64</f>
        <v>50233500</v>
      </c>
      <c r="D65" s="26" t="n">
        <f aca="false">ROUND((ตั้งค่า!$C$12+ตั้งค่า!$C$13*A65)*(1+ตั้งค่า!$C$14)^(A65-1),1)</f>
        <v>433.1</v>
      </c>
      <c r="E65" s="25" t="n">
        <f aca="false">ROUND((ตั้งค่า!$C$15+ตั้งค่า!$C$16*A65)*(1+ตั้งค่า!$C$17)^(A65-1),0)</f>
        <v>1710</v>
      </c>
      <c r="F65" s="25" t="n">
        <f aca="false">ROUND(D65*ตั้งค่า!$C$22,0)</f>
        <v>22</v>
      </c>
      <c r="G65" s="26" t="n">
        <f aca="false">MAX(1,D65-F65)</f>
        <v>411.1</v>
      </c>
      <c r="H65" s="25" t="n">
        <f aca="false">ROUND(ตั้งค่า!$C$20*G65,0)</f>
        <v>1644</v>
      </c>
      <c r="I65" s="25" t="n">
        <f aca="false">MAX(1,ROUND(E65/ตั้งค่า!$C$23,0))</f>
        <v>143</v>
      </c>
      <c r="J65" s="27" t="n">
        <f aca="false">ตั้งค่า!$C$20*ตั้งค่า!$C$18+ตั้งค่า!$C$21</f>
        <v>6.8</v>
      </c>
      <c r="K65" s="27" t="n">
        <f aca="false">ตั้งค่า!$C$10*A65^ตั้งค่า!$C$8+ตั้งค่า!$C$9</f>
        <v>271.904926450434</v>
      </c>
      <c r="L65" s="25" t="n">
        <f aca="false">K65*60/J65</f>
        <v>2399.16111573912</v>
      </c>
      <c r="M65" s="25" t="n">
        <f aca="false">MAX(1,ROUND(B65/L65,0))</f>
        <v>1419</v>
      </c>
      <c r="N65" s="25" t="n">
        <f aca="false">MAX(1,ROUND(M65*ตั้งค่า!$C$26*(1-ตั้งค่า!$C$27),0))</f>
        <v>568</v>
      </c>
      <c r="O65" s="25" t="n">
        <f aca="false">MAX(1,ROUND(M65*ตั้งค่า!$C$26*(1+ตั้งค่า!$C$27),0))</f>
        <v>851</v>
      </c>
      <c r="P65" s="25" t="n">
        <f aca="false">ROUNDUP(B65/M65,0)</f>
        <v>2400</v>
      </c>
      <c r="Q65" s="27" t="n">
        <f aca="false">P65*J65/60</f>
        <v>272</v>
      </c>
      <c r="R65" s="26" t="n">
        <f aca="false">R64+Q64/60</f>
        <v>90.3474444444445</v>
      </c>
    </row>
    <row r="66" customFormat="false" ht="15" hidden="false" customHeight="false" outlineLevel="0" collapsed="false">
      <c r="A66" s="3" t="n">
        <v>62</v>
      </c>
      <c r="B66" s="25" t="n">
        <f aca="false">ROUND(ตั้งค่า!$C$24*A66^ตั้งค่า!$C$25,0)</f>
        <v>3574920</v>
      </c>
      <c r="C66" s="25" t="n">
        <f aca="false">C65+B65</f>
        <v>53638215</v>
      </c>
      <c r="D66" s="26" t="n">
        <f aca="false">ROUND((ตั้งค่า!$C$12+ตั้งค่า!$C$13*A66)*(1+ตั้งค่า!$C$14)^(A66-1),1)</f>
        <v>448.5</v>
      </c>
      <c r="E66" s="25" t="n">
        <f aca="false">ROUND((ตั้งค่า!$C$15+ตั้งค่า!$C$16*A66)*(1+ตั้งค่า!$C$17)^(A66-1),0)</f>
        <v>1761</v>
      </c>
      <c r="F66" s="25" t="n">
        <f aca="false">ROUND(D66*ตั้งค่า!$C$22,0)</f>
        <v>22</v>
      </c>
      <c r="G66" s="26" t="n">
        <f aca="false">MAX(1,D66-F66)</f>
        <v>426.5</v>
      </c>
      <c r="H66" s="25" t="n">
        <f aca="false">ROUND(ตั้งค่า!$C$20*G66,0)</f>
        <v>1706</v>
      </c>
      <c r="I66" s="25" t="n">
        <f aca="false">MAX(1,ROUND(E66/ตั้งค่า!$C$23,0))</f>
        <v>147</v>
      </c>
      <c r="J66" s="27" t="n">
        <f aca="false">ตั้งค่า!$C$20*ตั้งค่า!$C$18+ตั้งค่า!$C$21</f>
        <v>6.8</v>
      </c>
      <c r="K66" s="27" t="n">
        <f aca="false">ตั้งค่า!$C$10*A66^ตั้งค่า!$C$8+ตั้งค่า!$C$9</f>
        <v>280.873081772499</v>
      </c>
      <c r="L66" s="25" t="n">
        <f aca="false">K66*60/J66</f>
        <v>2478.29189799264</v>
      </c>
      <c r="M66" s="25" t="n">
        <f aca="false">MAX(1,ROUND(B66/L66,0))</f>
        <v>1442</v>
      </c>
      <c r="N66" s="25" t="n">
        <f aca="false">MAX(1,ROUND(M66*ตั้งค่า!$C$26*(1-ตั้งค่า!$C$27),0))</f>
        <v>577</v>
      </c>
      <c r="O66" s="25" t="n">
        <f aca="false">MAX(1,ROUND(M66*ตั้งค่า!$C$26*(1+ตั้งค่า!$C$27),0))</f>
        <v>865</v>
      </c>
      <c r="P66" s="25" t="n">
        <f aca="false">ROUNDUP(B66/M66,0)</f>
        <v>2480</v>
      </c>
      <c r="Q66" s="27" t="n">
        <f aca="false">P66*J66/60</f>
        <v>281.066666666667</v>
      </c>
      <c r="R66" s="26" t="n">
        <f aca="false">R65+Q65/60</f>
        <v>94.8807777777778</v>
      </c>
    </row>
    <row r="67" customFormat="false" ht="15" hidden="false" customHeight="false" outlineLevel="0" collapsed="false">
      <c r="A67" s="3" t="n">
        <v>63</v>
      </c>
      <c r="B67" s="25" t="n">
        <f aca="false">ROUND(ตั้งค่า!$C$24*A67^ตั้งค่า!$C$25,0)</f>
        <v>3750705</v>
      </c>
      <c r="C67" s="25" t="n">
        <f aca="false">C66+B66</f>
        <v>57213135</v>
      </c>
      <c r="D67" s="26" t="n">
        <f aca="false">ROUND((ตั้งค่า!$C$12+ตั้งค่า!$C$13*A67)*(1+ตั้งค่า!$C$14)^(A67-1),1)</f>
        <v>464.2</v>
      </c>
      <c r="E67" s="25" t="n">
        <f aca="false">ROUND((ตั้งค่า!$C$15+ตั้งค่า!$C$16*A67)*(1+ตั้งค่า!$C$17)^(A67-1),0)</f>
        <v>1812</v>
      </c>
      <c r="F67" s="25" t="n">
        <f aca="false">ROUND(D67*ตั้งค่า!$C$22,0)</f>
        <v>23</v>
      </c>
      <c r="G67" s="26" t="n">
        <f aca="false">MAX(1,D67-F67)</f>
        <v>441.2</v>
      </c>
      <c r="H67" s="25" t="n">
        <f aca="false">ROUND(ตั้งค่า!$C$20*G67,0)</f>
        <v>1765</v>
      </c>
      <c r="I67" s="25" t="n">
        <f aca="false">MAX(1,ROUND(E67/ตั้งค่า!$C$23,0))</f>
        <v>151</v>
      </c>
      <c r="J67" s="27" t="n">
        <f aca="false">ตั้งค่า!$C$20*ตั้งค่า!$C$18+ตั้งค่า!$C$21</f>
        <v>6.8</v>
      </c>
      <c r="K67" s="27" t="n">
        <f aca="false">ตั้งค่า!$C$10*A67^ตั้งค่า!$C$8+ตั้งค่า!$C$9</f>
        <v>289.987060758337</v>
      </c>
      <c r="L67" s="25" t="n">
        <f aca="false">K67*60/J67</f>
        <v>2558.70935963239</v>
      </c>
      <c r="M67" s="25" t="n">
        <f aca="false">MAX(1,ROUND(B67/L67,0))</f>
        <v>1466</v>
      </c>
      <c r="N67" s="25" t="n">
        <f aca="false">MAX(1,ROUND(M67*ตั้งค่า!$C$26*(1-ตั้งค่า!$C$27),0))</f>
        <v>586</v>
      </c>
      <c r="O67" s="25" t="n">
        <f aca="false">MAX(1,ROUND(M67*ตั้งค่า!$C$26*(1+ตั้งค่า!$C$27),0))</f>
        <v>880</v>
      </c>
      <c r="P67" s="25" t="n">
        <f aca="false">ROUNDUP(B67/M67,0)</f>
        <v>2559</v>
      </c>
      <c r="Q67" s="27" t="n">
        <f aca="false">P67*J67/60</f>
        <v>290.02</v>
      </c>
      <c r="R67" s="26" t="n">
        <f aca="false">R66+Q66/60</f>
        <v>99.5652222222222</v>
      </c>
    </row>
    <row r="68" customFormat="false" ht="15" hidden="false" customHeight="false" outlineLevel="0" collapsed="false">
      <c r="A68" s="3" t="n">
        <v>64</v>
      </c>
      <c r="B68" s="25" t="n">
        <f aca="false">ROUND(ตั้งค่า!$C$24*A68^ตั้งค่า!$C$25,0)</f>
        <v>3932160</v>
      </c>
      <c r="C68" s="25" t="n">
        <f aca="false">C67+B67</f>
        <v>60963840</v>
      </c>
      <c r="D68" s="26" t="n">
        <f aca="false">ROUND((ตั้งค่า!$C$12+ตั้งค่า!$C$13*A68)*(1+ตั้งค่า!$C$14)^(A68-1),1)</f>
        <v>480.5</v>
      </c>
      <c r="E68" s="25" t="n">
        <f aca="false">ROUND((ตั้งค่า!$C$15+ตั้งค่า!$C$16*A68)*(1+ตั้งค่า!$C$17)^(A68-1),0)</f>
        <v>1865</v>
      </c>
      <c r="F68" s="25" t="n">
        <f aca="false">ROUND(D68*ตั้งค่า!$C$22,0)</f>
        <v>24</v>
      </c>
      <c r="G68" s="26" t="n">
        <f aca="false">MAX(1,D68-F68)</f>
        <v>456.5</v>
      </c>
      <c r="H68" s="25" t="n">
        <f aca="false">ROUND(ตั้งค่า!$C$20*G68,0)</f>
        <v>1826</v>
      </c>
      <c r="I68" s="25" t="n">
        <f aca="false">MAX(1,ROUND(E68/ตั้งค่า!$C$23,0))</f>
        <v>155</v>
      </c>
      <c r="J68" s="27" t="n">
        <f aca="false">ตั้งค่า!$C$20*ตั้งค่า!$C$18+ตั้งค่า!$C$21</f>
        <v>6.8</v>
      </c>
      <c r="K68" s="27" t="n">
        <f aca="false">ตั้งค่า!$C$10*A68^ตั้งค่า!$C$8+ตั้งค่า!$C$9</f>
        <v>299.246863407949</v>
      </c>
      <c r="L68" s="25" t="n">
        <f aca="false">K68*60/J68</f>
        <v>2640.41350065837</v>
      </c>
      <c r="M68" s="25" t="n">
        <f aca="false">MAX(1,ROUND(B68/L68,0))</f>
        <v>1489</v>
      </c>
      <c r="N68" s="25" t="n">
        <f aca="false">MAX(1,ROUND(M68*ตั้งค่า!$C$26*(1-ตั้งค่า!$C$27),0))</f>
        <v>596</v>
      </c>
      <c r="O68" s="25" t="n">
        <f aca="false">MAX(1,ROUND(M68*ตั้งค่า!$C$26*(1+ตั้งค่า!$C$27),0))</f>
        <v>893</v>
      </c>
      <c r="P68" s="25" t="n">
        <f aca="false">ROUNDUP(B68/M68,0)</f>
        <v>2641</v>
      </c>
      <c r="Q68" s="27" t="n">
        <f aca="false">P68*J68/60</f>
        <v>299.313333333333</v>
      </c>
      <c r="R68" s="26" t="n">
        <f aca="false">R67+Q67/60</f>
        <v>104.398888888889</v>
      </c>
    </row>
    <row r="69" customFormat="false" ht="15" hidden="false" customHeight="false" outlineLevel="0" collapsed="false">
      <c r="A69" s="3" t="n">
        <v>65</v>
      </c>
      <c r="B69" s="25" t="n">
        <f aca="false">ROUND(ตั้งค่า!$C$24*A69^ตั้งค่า!$C$25,0)</f>
        <v>4119375</v>
      </c>
      <c r="C69" s="25" t="n">
        <f aca="false">C68+B68</f>
        <v>64896000</v>
      </c>
      <c r="D69" s="26" t="n">
        <f aca="false">ROUND((ตั้งค่า!$C$12+ตั้งค่า!$C$13*A69)*(1+ตั้งค่า!$C$14)^(A69-1),1)</f>
        <v>497.2</v>
      </c>
      <c r="E69" s="25" t="n">
        <f aca="false">ROUND((ตั้งค่า!$C$15+ตั้งค่า!$C$16*A69)*(1+ตั้งค่า!$C$17)^(A69-1),0)</f>
        <v>1919</v>
      </c>
      <c r="F69" s="25" t="n">
        <f aca="false">ROUND(D69*ตั้งค่า!$C$22,0)</f>
        <v>25</v>
      </c>
      <c r="G69" s="26" t="n">
        <f aca="false">MAX(1,D69-F69)</f>
        <v>472.2</v>
      </c>
      <c r="H69" s="25" t="n">
        <f aca="false">ROUND(ตั้งค่า!$C$20*G69,0)</f>
        <v>1889</v>
      </c>
      <c r="I69" s="25" t="n">
        <f aca="false">MAX(1,ROUND(E69/ตั้งค่า!$C$23,0))</f>
        <v>160</v>
      </c>
      <c r="J69" s="27" t="n">
        <f aca="false">ตั้งค่า!$C$20*ตั้งค่า!$C$18+ตั้งค่า!$C$21</f>
        <v>6.8</v>
      </c>
      <c r="K69" s="27" t="n">
        <f aca="false">ตั้งค่า!$C$10*A69^ตั้งค่า!$C$8+ตั้งค่า!$C$9</f>
        <v>308.652489721334</v>
      </c>
      <c r="L69" s="25" t="n">
        <f aca="false">K69*60/J69</f>
        <v>2723.40432107059</v>
      </c>
      <c r="M69" s="25" t="n">
        <f aca="false">MAX(1,ROUND(B69/L69,0))</f>
        <v>1513</v>
      </c>
      <c r="N69" s="25" t="n">
        <f aca="false">MAX(1,ROUND(M69*ตั้งค่า!$C$26*(1-ตั้งค่า!$C$27),0))</f>
        <v>605</v>
      </c>
      <c r="O69" s="25" t="n">
        <f aca="false">MAX(1,ROUND(M69*ตั้งค่า!$C$26*(1+ตั้งค่า!$C$27),0))</f>
        <v>908</v>
      </c>
      <c r="P69" s="25" t="n">
        <f aca="false">ROUNDUP(B69/M69,0)</f>
        <v>2723</v>
      </c>
      <c r="Q69" s="27" t="n">
        <f aca="false">P69*J69/60</f>
        <v>308.606666666667</v>
      </c>
      <c r="R69" s="26" t="n">
        <f aca="false">R68+Q68/60</f>
        <v>109.387444444444</v>
      </c>
    </row>
    <row r="70" customFormat="false" ht="15" hidden="false" customHeight="false" outlineLevel="0" collapsed="false">
      <c r="A70" s="3" t="n">
        <v>66</v>
      </c>
      <c r="B70" s="25" t="n">
        <f aca="false">ROUND(ตั้งค่า!$C$24*A70^ตั้งค่า!$C$25,0)</f>
        <v>4312440</v>
      </c>
      <c r="C70" s="25" t="n">
        <f aca="false">C69+B69</f>
        <v>69015375</v>
      </c>
      <c r="D70" s="26" t="n">
        <f aca="false">ROUND((ตั้งค่า!$C$12+ตั้งค่า!$C$13*A70)*(1+ตั้งค่า!$C$14)^(A70-1),1)</f>
        <v>514.4</v>
      </c>
      <c r="E70" s="25" t="n">
        <f aca="false">ROUND((ตั้งค่า!$C$15+ตั้งค่า!$C$16*A70)*(1+ตั้งค่า!$C$17)^(A70-1),0)</f>
        <v>1974</v>
      </c>
      <c r="F70" s="25" t="n">
        <f aca="false">ROUND(D70*ตั้งค่า!$C$22,0)</f>
        <v>26</v>
      </c>
      <c r="G70" s="26" t="n">
        <f aca="false">MAX(1,D70-F70)</f>
        <v>488.4</v>
      </c>
      <c r="H70" s="25" t="n">
        <f aca="false">ROUND(ตั้งค่า!$C$20*G70,0)</f>
        <v>1954</v>
      </c>
      <c r="I70" s="25" t="n">
        <f aca="false">MAX(1,ROUND(E70/ตั้งค่า!$C$23,0))</f>
        <v>165</v>
      </c>
      <c r="J70" s="27" t="n">
        <f aca="false">ตั้งค่า!$C$20*ตั้งค่า!$C$18+ตั้งค่า!$C$21</f>
        <v>6.8</v>
      </c>
      <c r="K70" s="27" t="n">
        <f aca="false">ตั้งค่า!$C$10*A70^ตั้งค่า!$C$8+ตั้งค่า!$C$9</f>
        <v>318.203939698493</v>
      </c>
      <c r="L70" s="25" t="n">
        <f aca="false">K70*60/J70</f>
        <v>2807.68182086905</v>
      </c>
      <c r="M70" s="25" t="n">
        <f aca="false">MAX(1,ROUND(B70/L70,0))</f>
        <v>1536</v>
      </c>
      <c r="N70" s="25" t="n">
        <f aca="false">MAX(1,ROUND(M70*ตั้งค่า!$C$26*(1-ตั้งค่า!$C$27),0))</f>
        <v>614</v>
      </c>
      <c r="O70" s="25" t="n">
        <f aca="false">MAX(1,ROUND(M70*ตั้งค่า!$C$26*(1+ตั้งค่า!$C$27),0))</f>
        <v>922</v>
      </c>
      <c r="P70" s="25" t="n">
        <f aca="false">ROUNDUP(B70/M70,0)</f>
        <v>2808</v>
      </c>
      <c r="Q70" s="27" t="n">
        <f aca="false">P70*J70/60</f>
        <v>318.24</v>
      </c>
      <c r="R70" s="26" t="n">
        <f aca="false">R69+Q69/60</f>
        <v>114.530888888889</v>
      </c>
    </row>
    <row r="71" customFormat="false" ht="15" hidden="false" customHeight="false" outlineLevel="0" collapsed="false">
      <c r="A71" s="3" t="n">
        <v>67</v>
      </c>
      <c r="B71" s="25" t="n">
        <f aca="false">ROUND(ตั้งค่า!$C$24*A71^ตั้งค่า!$C$25,0)</f>
        <v>4511445</v>
      </c>
      <c r="C71" s="25" t="n">
        <f aca="false">C70+B70</f>
        <v>73327815</v>
      </c>
      <c r="D71" s="26" t="n">
        <f aca="false">ROUND((ตั้งค่า!$C$12+ตั้งค่า!$C$13*A71)*(1+ตั้งค่า!$C$14)^(A71-1),1)</f>
        <v>532.1</v>
      </c>
      <c r="E71" s="25" t="n">
        <f aca="false">ROUND((ตั้งค่า!$C$15+ตั้งค่า!$C$16*A71)*(1+ตั้งค่า!$C$17)^(A71-1),0)</f>
        <v>2030</v>
      </c>
      <c r="F71" s="25" t="n">
        <f aca="false">ROUND(D71*ตั้งค่า!$C$22,0)</f>
        <v>27</v>
      </c>
      <c r="G71" s="26" t="n">
        <f aca="false">MAX(1,D71-F71)</f>
        <v>505.1</v>
      </c>
      <c r="H71" s="25" t="n">
        <f aca="false">ROUND(ตั้งค่า!$C$20*G71,0)</f>
        <v>2020</v>
      </c>
      <c r="I71" s="25" t="n">
        <f aca="false">MAX(1,ROUND(E71/ตั้งค่า!$C$23,0))</f>
        <v>169</v>
      </c>
      <c r="J71" s="27" t="n">
        <f aca="false">ตั้งค่า!$C$20*ตั้งค่า!$C$18+ตั้งค่า!$C$21</f>
        <v>6.8</v>
      </c>
      <c r="K71" s="27" t="n">
        <f aca="false">ตั้งค่า!$C$10*A71^ตั้งค่า!$C$8+ตั้งค่า!$C$9</f>
        <v>327.901213339424</v>
      </c>
      <c r="L71" s="25" t="n">
        <f aca="false">K71*60/J71</f>
        <v>2893.24600005375</v>
      </c>
      <c r="M71" s="25" t="n">
        <f aca="false">MAX(1,ROUND(B71/L71,0))</f>
        <v>1559</v>
      </c>
      <c r="N71" s="25" t="n">
        <f aca="false">MAX(1,ROUND(M71*ตั้งค่า!$C$26*(1-ตั้งค่า!$C$27),0))</f>
        <v>624</v>
      </c>
      <c r="O71" s="25" t="n">
        <f aca="false">MAX(1,ROUND(M71*ตั้งค่า!$C$26*(1+ตั้งค่า!$C$27),0))</f>
        <v>935</v>
      </c>
      <c r="P71" s="25" t="n">
        <f aca="false">ROUNDUP(B71/M71,0)</f>
        <v>2894</v>
      </c>
      <c r="Q71" s="27" t="n">
        <f aca="false">P71*J71/60</f>
        <v>327.986666666667</v>
      </c>
      <c r="R71" s="26" t="n">
        <f aca="false">R70+Q70/60</f>
        <v>119.834888888889</v>
      </c>
    </row>
    <row r="72" customFormat="false" ht="15" hidden="false" customHeight="false" outlineLevel="0" collapsed="false">
      <c r="A72" s="3" t="n">
        <v>68</v>
      </c>
      <c r="B72" s="25" t="n">
        <f aca="false">ROUND(ตั้งค่า!$C$24*A72^ตั้งค่า!$C$25,0)</f>
        <v>4716480</v>
      </c>
      <c r="C72" s="25" t="n">
        <f aca="false">C71+B71</f>
        <v>77839260</v>
      </c>
      <c r="D72" s="26" t="n">
        <f aca="false">ROUND((ตั้งค่า!$C$12+ตั้งค่า!$C$13*A72)*(1+ตั้งค่า!$C$14)^(A72-1),1)</f>
        <v>550.3</v>
      </c>
      <c r="E72" s="25" t="n">
        <f aca="false">ROUND((ตั้งค่า!$C$15+ตั้งค่า!$C$16*A72)*(1+ตั้งค่า!$C$17)^(A72-1),0)</f>
        <v>2088</v>
      </c>
      <c r="F72" s="25" t="n">
        <f aca="false">ROUND(D72*ตั้งค่า!$C$22,0)</f>
        <v>28</v>
      </c>
      <c r="G72" s="26" t="n">
        <f aca="false">MAX(1,D72-F72)</f>
        <v>522.3</v>
      </c>
      <c r="H72" s="25" t="n">
        <f aca="false">ROUND(ตั้งค่า!$C$20*G72,0)</f>
        <v>2089</v>
      </c>
      <c r="I72" s="25" t="n">
        <f aca="false">MAX(1,ROUND(E72/ตั้งค่า!$C$23,0))</f>
        <v>174</v>
      </c>
      <c r="J72" s="27" t="n">
        <f aca="false">ตั้งค่า!$C$20*ตั้งค่า!$C$18+ตั้งค่า!$C$21</f>
        <v>6.8</v>
      </c>
      <c r="K72" s="27" t="n">
        <f aca="false">ตั้งค่า!$C$10*A72^ตั้งค่า!$C$8+ตั้งค่า!$C$9</f>
        <v>337.74431064413</v>
      </c>
      <c r="L72" s="25" t="n">
        <f aca="false">K72*60/J72</f>
        <v>2980.09685862467</v>
      </c>
      <c r="M72" s="25" t="n">
        <f aca="false">MAX(1,ROUND(B72/L72,0))</f>
        <v>1583</v>
      </c>
      <c r="N72" s="25" t="n">
        <f aca="false">MAX(1,ROUND(M72*ตั้งค่า!$C$26*(1-ตั้งค่า!$C$27),0))</f>
        <v>633</v>
      </c>
      <c r="O72" s="25" t="n">
        <f aca="false">MAX(1,ROUND(M72*ตั้งค่า!$C$26*(1+ตั้งค่า!$C$27),0))</f>
        <v>950</v>
      </c>
      <c r="P72" s="25" t="n">
        <f aca="false">ROUNDUP(B72/M72,0)</f>
        <v>2980</v>
      </c>
      <c r="Q72" s="27" t="n">
        <f aca="false">P72*J72/60</f>
        <v>337.733333333333</v>
      </c>
      <c r="R72" s="26" t="n">
        <f aca="false">R71+Q71/60</f>
        <v>125.301333333333</v>
      </c>
    </row>
    <row r="73" customFormat="false" ht="15" hidden="false" customHeight="false" outlineLevel="0" collapsed="false">
      <c r="A73" s="3" t="n">
        <v>69</v>
      </c>
      <c r="B73" s="25" t="n">
        <f aca="false">ROUND(ตั้งค่า!$C$24*A73^ตั้งค่า!$C$25,0)</f>
        <v>4927635</v>
      </c>
      <c r="C73" s="25" t="n">
        <f aca="false">C72+B72</f>
        <v>82555740</v>
      </c>
      <c r="D73" s="26" t="n">
        <f aca="false">ROUND((ตั้งค่า!$C$12+ตั้งค่า!$C$13*A73)*(1+ตั้งค่า!$C$14)^(A73-1),1)</f>
        <v>568.9</v>
      </c>
      <c r="E73" s="25" t="n">
        <f aca="false">ROUND((ตั้งค่า!$C$15+ตั้งค่า!$C$16*A73)*(1+ตั้งค่า!$C$17)^(A73-1),0)</f>
        <v>2147</v>
      </c>
      <c r="F73" s="25" t="n">
        <f aca="false">ROUND(D73*ตั้งค่า!$C$22,0)</f>
        <v>28</v>
      </c>
      <c r="G73" s="26" t="n">
        <f aca="false">MAX(1,D73-F73)</f>
        <v>540.9</v>
      </c>
      <c r="H73" s="25" t="n">
        <f aca="false">ROUND(ตั้งค่า!$C$20*G73,0)</f>
        <v>2164</v>
      </c>
      <c r="I73" s="25" t="n">
        <f aca="false">MAX(1,ROUND(E73/ตั้งค่า!$C$23,0))</f>
        <v>179</v>
      </c>
      <c r="J73" s="27" t="n">
        <f aca="false">ตั้งค่า!$C$20*ตั้งค่า!$C$18+ตั้งค่า!$C$21</f>
        <v>6.8</v>
      </c>
      <c r="K73" s="27" t="n">
        <f aca="false">ตั้งค่า!$C$10*A73^ตั้งค่า!$C$8+ตั้งค่า!$C$9</f>
        <v>347.733231612609</v>
      </c>
      <c r="L73" s="25" t="n">
        <f aca="false">K73*60/J73</f>
        <v>3068.23439658184</v>
      </c>
      <c r="M73" s="25" t="n">
        <f aca="false">MAX(1,ROUND(B73/L73,0))</f>
        <v>1606</v>
      </c>
      <c r="N73" s="25" t="n">
        <f aca="false">MAX(1,ROUND(M73*ตั้งค่า!$C$26*(1-ตั้งค่า!$C$27),0))</f>
        <v>642</v>
      </c>
      <c r="O73" s="25" t="n">
        <f aca="false">MAX(1,ROUND(M73*ตั้งค่า!$C$26*(1+ตั้งค่า!$C$27),0))</f>
        <v>964</v>
      </c>
      <c r="P73" s="25" t="n">
        <f aca="false">ROUNDUP(B73/M73,0)</f>
        <v>3069</v>
      </c>
      <c r="Q73" s="27" t="n">
        <f aca="false">P73*J73/60</f>
        <v>347.82</v>
      </c>
      <c r="R73" s="26" t="n">
        <f aca="false">R72+Q72/60</f>
        <v>130.930222222222</v>
      </c>
    </row>
    <row r="74" customFormat="false" ht="15" hidden="false" customHeight="false" outlineLevel="0" collapsed="false">
      <c r="A74" s="3" t="n">
        <v>70</v>
      </c>
      <c r="B74" s="25" t="n">
        <f aca="false">ROUND(ตั้งค่า!$C$24*A74^ตั้งค่า!$C$25,0)</f>
        <v>5145000</v>
      </c>
      <c r="C74" s="25" t="n">
        <f aca="false">C73+B73</f>
        <v>87483375</v>
      </c>
      <c r="D74" s="26" t="n">
        <f aca="false">ROUND((ตั้งค่า!$C$12+ตั้งค่า!$C$13*A74)*(1+ตั้งค่า!$C$14)^(A74-1),1)</f>
        <v>588.2</v>
      </c>
      <c r="E74" s="25" t="n">
        <f aca="false">ROUND((ตั้งค่า!$C$15+ตั้งค่า!$C$16*A74)*(1+ตั้งค่า!$C$17)^(A74-1),0)</f>
        <v>2207</v>
      </c>
      <c r="F74" s="25" t="n">
        <f aca="false">ROUND(D74*ตั้งค่า!$C$22,0)</f>
        <v>29</v>
      </c>
      <c r="G74" s="26" t="n">
        <f aca="false">MAX(1,D74-F74)</f>
        <v>559.2</v>
      </c>
      <c r="H74" s="25" t="n">
        <f aca="false">ROUND(ตั้งค่า!$C$20*G74,0)</f>
        <v>2237</v>
      </c>
      <c r="I74" s="25" t="n">
        <f aca="false">MAX(1,ROUND(E74/ตั้งค่า!$C$23,0))</f>
        <v>184</v>
      </c>
      <c r="J74" s="27" t="n">
        <f aca="false">ตั้งค่า!$C$20*ตั้งค่า!$C$18+ตั้งค่า!$C$21</f>
        <v>6.8</v>
      </c>
      <c r="K74" s="27" t="n">
        <f aca="false">ตั้งค่า!$C$10*A74^ตั้งค่า!$C$8+ตั้งค่า!$C$9</f>
        <v>357.867976244861</v>
      </c>
      <c r="L74" s="25" t="n">
        <f aca="false">K74*60/J74</f>
        <v>3157.65861392524</v>
      </c>
      <c r="M74" s="25" t="n">
        <f aca="false">MAX(1,ROUND(B74/L74,0))</f>
        <v>1629</v>
      </c>
      <c r="N74" s="25" t="n">
        <f aca="false">MAX(1,ROUND(M74*ตั้งค่า!$C$26*(1-ตั้งค่า!$C$27),0))</f>
        <v>652</v>
      </c>
      <c r="O74" s="25" t="n">
        <f aca="false">MAX(1,ROUND(M74*ตั้งค่า!$C$26*(1+ตั้งค่า!$C$27),0))</f>
        <v>977</v>
      </c>
      <c r="P74" s="25" t="n">
        <f aca="false">ROUNDUP(B74/M74,0)</f>
        <v>3159</v>
      </c>
      <c r="Q74" s="27" t="n">
        <f aca="false">P74*J74/60</f>
        <v>358.02</v>
      </c>
      <c r="R74" s="26" t="n">
        <f aca="false">R73+Q73/60</f>
        <v>136.727222222222</v>
      </c>
    </row>
    <row r="75" customFormat="false" ht="15" hidden="false" customHeight="false" outlineLevel="0" collapsed="false">
      <c r="A75" s="3" t="n">
        <v>71</v>
      </c>
      <c r="B75" s="25" t="n">
        <f aca="false">ROUND(ตั้งค่า!$C$24*A75^ตั้งค่า!$C$25,0)</f>
        <v>5368665</v>
      </c>
      <c r="C75" s="25" t="n">
        <f aca="false">C74+B74</f>
        <v>92628375</v>
      </c>
      <c r="D75" s="26" t="n">
        <f aca="false">ROUND((ตั้งค่า!$C$12+ตั้งค่า!$C$13*A75)*(1+ตั้งค่า!$C$14)^(A75-1),1)</f>
        <v>607.9</v>
      </c>
      <c r="E75" s="25" t="n">
        <f aca="false">ROUND((ตั้งค่า!$C$15+ตั้งค่า!$C$16*A75)*(1+ตั้งค่า!$C$17)^(A75-1),0)</f>
        <v>2268</v>
      </c>
      <c r="F75" s="25" t="n">
        <f aca="false">ROUND(D75*ตั้งค่า!$C$22,0)</f>
        <v>30</v>
      </c>
      <c r="G75" s="26" t="n">
        <f aca="false">MAX(1,D75-F75)</f>
        <v>577.9</v>
      </c>
      <c r="H75" s="25" t="n">
        <f aca="false">ROUND(ตั้งค่า!$C$20*G75,0)</f>
        <v>2312</v>
      </c>
      <c r="I75" s="25" t="n">
        <f aca="false">MAX(1,ROUND(E75/ตั้งค่า!$C$23,0))</f>
        <v>189</v>
      </c>
      <c r="J75" s="27" t="n">
        <f aca="false">ตั้งค่า!$C$20*ตั้งค่า!$C$18+ตั้งค่า!$C$21</f>
        <v>6.8</v>
      </c>
      <c r="K75" s="27" t="n">
        <f aca="false">ตั้งค่า!$C$10*A75^ตั้งค่า!$C$8+ตั้งค่า!$C$9</f>
        <v>368.148544540886</v>
      </c>
      <c r="L75" s="25" t="n">
        <f aca="false">K75*60/J75</f>
        <v>3248.36951065488</v>
      </c>
      <c r="M75" s="25" t="n">
        <f aca="false">MAX(1,ROUND(B75/L75,0))</f>
        <v>1653</v>
      </c>
      <c r="N75" s="25" t="n">
        <f aca="false">MAX(1,ROUND(M75*ตั้งค่า!$C$26*(1-ตั้งค่า!$C$27),0))</f>
        <v>661</v>
      </c>
      <c r="O75" s="25" t="n">
        <f aca="false">MAX(1,ROUND(M75*ตั้งค่า!$C$26*(1+ตั้งค่า!$C$27),0))</f>
        <v>992</v>
      </c>
      <c r="P75" s="25" t="n">
        <f aca="false">ROUNDUP(B75/M75,0)</f>
        <v>3248</v>
      </c>
      <c r="Q75" s="27" t="n">
        <f aca="false">P75*J75/60</f>
        <v>368.106666666667</v>
      </c>
      <c r="R75" s="26" t="n">
        <f aca="false">R74+Q74/60</f>
        <v>142.694222222222</v>
      </c>
    </row>
    <row r="76" customFormat="false" ht="15" hidden="false" customHeight="false" outlineLevel="0" collapsed="false">
      <c r="A76" s="3" t="n">
        <v>72</v>
      </c>
      <c r="B76" s="25" t="n">
        <f aca="false">ROUND(ตั้งค่า!$C$24*A76^ตั้งค่า!$C$25,0)</f>
        <v>5598720</v>
      </c>
      <c r="C76" s="25" t="n">
        <f aca="false">C75+B75</f>
        <v>97997040</v>
      </c>
      <c r="D76" s="26" t="n">
        <f aca="false">ROUND((ตั้งค่า!$C$12+ตั้งค่า!$C$13*A76)*(1+ตั้งค่า!$C$14)^(A76-1),1)</f>
        <v>628.3</v>
      </c>
      <c r="E76" s="25" t="n">
        <f aca="false">ROUND((ตั้งค่า!$C$15+ตั้งค่า!$C$16*A76)*(1+ตั้งค่า!$C$17)^(A76-1),0)</f>
        <v>2331</v>
      </c>
      <c r="F76" s="25" t="n">
        <f aca="false">ROUND(D76*ตั้งค่า!$C$22,0)</f>
        <v>31</v>
      </c>
      <c r="G76" s="26" t="n">
        <f aca="false">MAX(1,D76-F76)</f>
        <v>597.3</v>
      </c>
      <c r="H76" s="25" t="n">
        <f aca="false">ROUND(ตั้งค่า!$C$20*G76,0)</f>
        <v>2389</v>
      </c>
      <c r="I76" s="25" t="n">
        <f aca="false">MAX(1,ROUND(E76/ตั้งค่า!$C$23,0))</f>
        <v>194</v>
      </c>
      <c r="J76" s="27" t="n">
        <f aca="false">ตั้งค่า!$C$20*ตั้งค่า!$C$18+ตั้งค่า!$C$21</f>
        <v>6.8</v>
      </c>
      <c r="K76" s="27" t="n">
        <f aca="false">ตั้งค่า!$C$10*A76^ตั้งค่า!$C$8+ตั้งค่า!$C$9</f>
        <v>378.574936500685</v>
      </c>
      <c r="L76" s="25" t="n">
        <f aca="false">K76*60/J76</f>
        <v>3340.36708677075</v>
      </c>
      <c r="M76" s="25" t="n">
        <f aca="false">MAX(1,ROUND(B76/L76,0))</f>
        <v>1676</v>
      </c>
      <c r="N76" s="25" t="n">
        <f aca="false">MAX(1,ROUND(M76*ตั้งค่า!$C$26*(1-ตั้งค่า!$C$27),0))</f>
        <v>670</v>
      </c>
      <c r="O76" s="25" t="n">
        <f aca="false">MAX(1,ROUND(M76*ตั้งค่า!$C$26*(1+ตั้งค่า!$C$27),0))</f>
        <v>1006</v>
      </c>
      <c r="P76" s="25" t="n">
        <f aca="false">ROUNDUP(B76/M76,0)</f>
        <v>3341</v>
      </c>
      <c r="Q76" s="27" t="n">
        <f aca="false">P76*J76/60</f>
        <v>378.646666666667</v>
      </c>
      <c r="R76" s="26" t="n">
        <f aca="false">R75+Q75/60</f>
        <v>148.829333333333</v>
      </c>
    </row>
    <row r="77" customFormat="false" ht="15" hidden="false" customHeight="false" outlineLevel="0" collapsed="false">
      <c r="A77" s="3" t="n">
        <v>73</v>
      </c>
      <c r="B77" s="25" t="n">
        <f aca="false">ROUND(ตั้งค่า!$C$24*A77^ตั้งค่า!$C$25,0)</f>
        <v>5835255</v>
      </c>
      <c r="C77" s="25" t="n">
        <f aca="false">C76+B76</f>
        <v>103595760</v>
      </c>
      <c r="D77" s="26" t="n">
        <f aca="false">ROUND((ตั้งค่า!$C$12+ตั้งค่า!$C$13*A77)*(1+ตั้งค่า!$C$14)^(A77-1),1)</f>
        <v>649.1</v>
      </c>
      <c r="E77" s="25" t="n">
        <f aca="false">ROUND((ตั้งค่า!$C$15+ตั้งค่า!$C$16*A77)*(1+ตั้งค่า!$C$17)^(A77-1),0)</f>
        <v>2395</v>
      </c>
      <c r="F77" s="25" t="n">
        <f aca="false">ROUND(D77*ตั้งค่า!$C$22,0)</f>
        <v>32</v>
      </c>
      <c r="G77" s="26" t="n">
        <f aca="false">MAX(1,D77-F77)</f>
        <v>617.1</v>
      </c>
      <c r="H77" s="25" t="n">
        <f aca="false">ROUND(ตั้งค่า!$C$20*G77,0)</f>
        <v>2468</v>
      </c>
      <c r="I77" s="25" t="n">
        <f aca="false">MAX(1,ROUND(E77/ตั้งค่า!$C$23,0))</f>
        <v>200</v>
      </c>
      <c r="J77" s="27" t="n">
        <f aca="false">ตั้งค่า!$C$20*ตั้งค่า!$C$18+ตั้งค่า!$C$21</f>
        <v>6.8</v>
      </c>
      <c r="K77" s="27" t="n">
        <f aca="false">ตั้งค่า!$C$10*A77^ตั้งค่า!$C$8+ตั้งค่า!$C$9</f>
        <v>389.147152124258</v>
      </c>
      <c r="L77" s="25" t="n">
        <f aca="false">K77*60/J77</f>
        <v>3433.65134227286</v>
      </c>
      <c r="M77" s="25" t="n">
        <f aca="false">MAX(1,ROUND(B77/L77,0))</f>
        <v>1699</v>
      </c>
      <c r="N77" s="25" t="n">
        <f aca="false">MAX(1,ROUND(M77*ตั้งค่า!$C$26*(1-ตั้งค่า!$C$27),0))</f>
        <v>680</v>
      </c>
      <c r="O77" s="25" t="n">
        <f aca="false">MAX(1,ROUND(M77*ตั้งค่า!$C$26*(1+ตั้งค่า!$C$27),0))</f>
        <v>1019</v>
      </c>
      <c r="P77" s="25" t="n">
        <f aca="false">ROUNDUP(B77/M77,0)</f>
        <v>3435</v>
      </c>
      <c r="Q77" s="27" t="n">
        <f aca="false">P77*J77/60</f>
        <v>389.3</v>
      </c>
      <c r="R77" s="26" t="n">
        <f aca="false">R76+Q76/60</f>
        <v>155.140111111111</v>
      </c>
    </row>
    <row r="78" customFormat="false" ht="15" hidden="false" customHeight="false" outlineLevel="0" collapsed="false">
      <c r="A78" s="3" t="n">
        <v>74</v>
      </c>
      <c r="B78" s="25" t="n">
        <f aca="false">ROUND(ตั้งค่า!$C$24*A78^ตั้งค่า!$C$25,0)</f>
        <v>6078360</v>
      </c>
      <c r="C78" s="25" t="n">
        <f aca="false">C77+B77</f>
        <v>109431015</v>
      </c>
      <c r="D78" s="26" t="n">
        <f aca="false">ROUND((ตั้งค่า!$C$12+ตั้งค่า!$C$13*A78)*(1+ตั้งค่า!$C$14)^(A78-1),1)</f>
        <v>670.6</v>
      </c>
      <c r="E78" s="25" t="n">
        <f aca="false">ROUND((ตั้งค่า!$C$15+ตั้งค่า!$C$16*A78)*(1+ตั้งค่า!$C$17)^(A78-1),0)</f>
        <v>2461</v>
      </c>
      <c r="F78" s="25" t="n">
        <f aca="false">ROUND(D78*ตั้งค่า!$C$22,0)</f>
        <v>34</v>
      </c>
      <c r="G78" s="26" t="n">
        <f aca="false">MAX(1,D78-F78)</f>
        <v>636.6</v>
      </c>
      <c r="H78" s="25" t="n">
        <f aca="false">ROUND(ตั้งค่า!$C$20*G78,0)</f>
        <v>2546</v>
      </c>
      <c r="I78" s="25" t="n">
        <f aca="false">MAX(1,ROUND(E78/ตั้งค่า!$C$23,0))</f>
        <v>205</v>
      </c>
      <c r="J78" s="27" t="n">
        <f aca="false">ตั้งค่า!$C$20*ตั้งค่า!$C$18+ตั้งค่า!$C$21</f>
        <v>6.8</v>
      </c>
      <c r="K78" s="27" t="n">
        <f aca="false">ตั้งค่า!$C$10*A78^ตั้งค่า!$C$8+ตั้งค่า!$C$9</f>
        <v>399.865191411604</v>
      </c>
      <c r="L78" s="25" t="n">
        <f aca="false">K78*60/J78</f>
        <v>3528.22227716121</v>
      </c>
      <c r="M78" s="25" t="n">
        <f aca="false">MAX(1,ROUND(B78/L78,0))</f>
        <v>1723</v>
      </c>
      <c r="N78" s="25" t="n">
        <f aca="false">MAX(1,ROUND(M78*ตั้งค่า!$C$26*(1-ตั้งค่า!$C$27),0))</f>
        <v>689</v>
      </c>
      <c r="O78" s="25" t="n">
        <f aca="false">MAX(1,ROUND(M78*ตั้งค่า!$C$26*(1+ตั้งค่า!$C$27),0))</f>
        <v>1034</v>
      </c>
      <c r="P78" s="25" t="n">
        <f aca="false">ROUNDUP(B78/M78,0)</f>
        <v>3528</v>
      </c>
      <c r="Q78" s="27" t="n">
        <f aca="false">P78*J78/60</f>
        <v>399.84</v>
      </c>
      <c r="R78" s="26" t="n">
        <f aca="false">R77+Q77/60</f>
        <v>161.628444444444</v>
      </c>
    </row>
    <row r="79" customFormat="false" ht="15" hidden="false" customHeight="false" outlineLevel="0" collapsed="false">
      <c r="A79" s="3" t="n">
        <v>75</v>
      </c>
      <c r="B79" s="25" t="n">
        <f aca="false">ROUND(ตั้งค่า!$C$24*A79^ตั้งค่า!$C$25,0)</f>
        <v>6328125</v>
      </c>
      <c r="C79" s="25" t="n">
        <f aca="false">C78+B78</f>
        <v>115509375</v>
      </c>
      <c r="D79" s="26" t="n">
        <f aca="false">ROUND((ตั้งค่า!$C$12+ตั้งค่า!$C$13*A79)*(1+ตั้งค่า!$C$14)^(A79-1),1)</f>
        <v>692.7</v>
      </c>
      <c r="E79" s="25" t="n">
        <f aca="false">ROUND((ตั้งค่า!$C$15+ตั้งค่า!$C$16*A79)*(1+ตั้งค่า!$C$17)^(A79-1),0)</f>
        <v>2528</v>
      </c>
      <c r="F79" s="25" t="n">
        <f aca="false">ROUND(D79*ตั้งค่า!$C$22,0)</f>
        <v>35</v>
      </c>
      <c r="G79" s="26" t="n">
        <f aca="false">MAX(1,D79-F79)</f>
        <v>657.7</v>
      </c>
      <c r="H79" s="25" t="n">
        <f aca="false">ROUND(ตั้งค่า!$C$20*G79,0)</f>
        <v>2631</v>
      </c>
      <c r="I79" s="25" t="n">
        <f aca="false">MAX(1,ROUND(E79/ตั้งค่า!$C$23,0))</f>
        <v>211</v>
      </c>
      <c r="J79" s="27" t="n">
        <f aca="false">ตั้งค่า!$C$20*ตั้งค่า!$C$18+ตั้งค่า!$C$21</f>
        <v>6.8</v>
      </c>
      <c r="K79" s="27" t="n">
        <f aca="false">ตั้งค่า!$C$10*A79^ตั้งค่า!$C$8+ตั้งค่า!$C$9</f>
        <v>410.729054362723</v>
      </c>
      <c r="L79" s="25" t="n">
        <f aca="false">K79*60/J79</f>
        <v>3624.07989143579</v>
      </c>
      <c r="M79" s="25" t="n">
        <f aca="false">MAX(1,ROUND(B79/L79,0))</f>
        <v>1746</v>
      </c>
      <c r="N79" s="25" t="n">
        <f aca="false">MAX(1,ROUND(M79*ตั้งค่า!$C$26*(1-ตั้งค่า!$C$27),0))</f>
        <v>698</v>
      </c>
      <c r="O79" s="25" t="n">
        <f aca="false">MAX(1,ROUND(M79*ตั้งค่า!$C$26*(1+ตั้งค่า!$C$27),0))</f>
        <v>1048</v>
      </c>
      <c r="P79" s="25" t="n">
        <f aca="false">ROUNDUP(B79/M79,0)</f>
        <v>3625</v>
      </c>
      <c r="Q79" s="27" t="n">
        <f aca="false">P79*J79/60</f>
        <v>410.833333333333</v>
      </c>
      <c r="R79" s="26" t="n">
        <f aca="false">R78+Q78/60</f>
        <v>168.292444444444</v>
      </c>
    </row>
    <row r="80" customFormat="false" ht="15" hidden="false" customHeight="false" outlineLevel="0" collapsed="false">
      <c r="A80" s="3" t="n">
        <v>76</v>
      </c>
      <c r="B80" s="25" t="n">
        <f aca="false">ROUND(ตั้งค่า!$C$24*A80^ตั้งค่า!$C$25,0)</f>
        <v>6584640</v>
      </c>
      <c r="C80" s="25" t="n">
        <f aca="false">C79+B79</f>
        <v>121837500</v>
      </c>
      <c r="D80" s="26" t="n">
        <f aca="false">ROUND((ตั้งค่า!$C$12+ตั้งค่า!$C$13*A80)*(1+ตั้งค่า!$C$14)^(A80-1),1)</f>
        <v>715.4</v>
      </c>
      <c r="E80" s="25" t="n">
        <f aca="false">ROUND((ตั้งค่า!$C$15+ตั้งค่า!$C$16*A80)*(1+ตั้งค่า!$C$17)^(A80-1),0)</f>
        <v>2596</v>
      </c>
      <c r="F80" s="25" t="n">
        <f aca="false">ROUND(D80*ตั้งค่า!$C$22,0)</f>
        <v>36</v>
      </c>
      <c r="G80" s="26" t="n">
        <f aca="false">MAX(1,D80-F80)</f>
        <v>679.4</v>
      </c>
      <c r="H80" s="25" t="n">
        <f aca="false">ROUND(ตั้งค่า!$C$20*G80,0)</f>
        <v>2718</v>
      </c>
      <c r="I80" s="25" t="n">
        <f aca="false">MAX(1,ROUND(E80/ตั้งค่า!$C$23,0))</f>
        <v>216</v>
      </c>
      <c r="J80" s="27" t="n">
        <f aca="false">ตั้งค่า!$C$20*ตั้งค่า!$C$18+ตั้งค่า!$C$21</f>
        <v>6.8</v>
      </c>
      <c r="K80" s="27" t="n">
        <f aca="false">ตั้งค่า!$C$10*A80^ตั้งค่า!$C$8+ตั้งค่า!$C$9</f>
        <v>421.738740977615</v>
      </c>
      <c r="L80" s="25" t="n">
        <f aca="false">K80*60/J80</f>
        <v>3721.22418509661</v>
      </c>
      <c r="M80" s="25" t="n">
        <f aca="false">MAX(1,ROUND(B80/L80,0))</f>
        <v>1769</v>
      </c>
      <c r="N80" s="25" t="n">
        <f aca="false">MAX(1,ROUND(M80*ตั้งค่า!$C$26*(1-ตั้งค่า!$C$27),0))</f>
        <v>708</v>
      </c>
      <c r="O80" s="25" t="n">
        <f aca="false">MAX(1,ROUND(M80*ตั้งค่า!$C$26*(1+ตั้งค่า!$C$27),0))</f>
        <v>1061</v>
      </c>
      <c r="P80" s="25" t="n">
        <f aca="false">ROUNDUP(B80/M80,0)</f>
        <v>3723</v>
      </c>
      <c r="Q80" s="27" t="n">
        <f aca="false">P80*J80/60</f>
        <v>421.94</v>
      </c>
      <c r="R80" s="26" t="n">
        <f aca="false">R79+Q79/60</f>
        <v>175.139666666667</v>
      </c>
    </row>
    <row r="81" customFormat="false" ht="15" hidden="false" customHeight="false" outlineLevel="0" collapsed="false">
      <c r="A81" s="3" t="n">
        <v>77</v>
      </c>
      <c r="B81" s="25" t="n">
        <f aca="false">ROUND(ตั้งค่า!$C$24*A81^ตั้งค่า!$C$25,0)</f>
        <v>6847995</v>
      </c>
      <c r="C81" s="25" t="n">
        <f aca="false">C80+B80</f>
        <v>128422140</v>
      </c>
      <c r="D81" s="26" t="n">
        <f aca="false">ROUND((ตั้งค่า!$C$12+ตั้งค่า!$C$13*A81)*(1+ตั้งค่า!$C$14)^(A81-1),1)</f>
        <v>738.7</v>
      </c>
      <c r="E81" s="25" t="n">
        <f aca="false">ROUND((ตั้งค่า!$C$15+ตั้งค่า!$C$16*A81)*(1+ตั้งค่า!$C$17)^(A81-1),0)</f>
        <v>2666</v>
      </c>
      <c r="F81" s="25" t="n">
        <f aca="false">ROUND(D81*ตั้งค่า!$C$22,0)</f>
        <v>37</v>
      </c>
      <c r="G81" s="26" t="n">
        <f aca="false">MAX(1,D81-F81)</f>
        <v>701.7</v>
      </c>
      <c r="H81" s="25" t="n">
        <f aca="false">ROUND(ตั้งค่า!$C$20*G81,0)</f>
        <v>2807</v>
      </c>
      <c r="I81" s="25" t="n">
        <f aca="false">MAX(1,ROUND(E81/ตั้งค่า!$C$23,0))</f>
        <v>222</v>
      </c>
      <c r="J81" s="27" t="n">
        <f aca="false">ตั้งค่า!$C$20*ตั้งค่า!$C$18+ตั้งค่า!$C$21</f>
        <v>6.8</v>
      </c>
      <c r="K81" s="27" t="n">
        <f aca="false">ตั้งค่า!$C$10*A81^ตั้งค่า!$C$8+ตั้งค่า!$C$9</f>
        <v>432.894251256281</v>
      </c>
      <c r="L81" s="25" t="n">
        <f aca="false">K81*60/J81</f>
        <v>3819.65515814366</v>
      </c>
      <c r="M81" s="25" t="n">
        <f aca="false">MAX(1,ROUND(B81/L81,0))</f>
        <v>1793</v>
      </c>
      <c r="N81" s="25" t="n">
        <f aca="false">MAX(1,ROUND(M81*ตั้งค่า!$C$26*(1-ตั้งค่า!$C$27),0))</f>
        <v>717</v>
      </c>
      <c r="O81" s="25" t="n">
        <f aca="false">MAX(1,ROUND(M81*ตั้งค่า!$C$26*(1+ตั้งค่า!$C$27),0))</f>
        <v>1076</v>
      </c>
      <c r="P81" s="25" t="n">
        <f aca="false">ROUNDUP(B81/M81,0)</f>
        <v>3820</v>
      </c>
      <c r="Q81" s="27" t="n">
        <f aca="false">P81*J81/60</f>
        <v>432.933333333333</v>
      </c>
      <c r="R81" s="26" t="n">
        <f aca="false">R80+Q80/60</f>
        <v>182.172</v>
      </c>
    </row>
    <row r="82" customFormat="false" ht="15" hidden="false" customHeight="false" outlineLevel="0" collapsed="false">
      <c r="A82" s="3" t="n">
        <v>78</v>
      </c>
      <c r="B82" s="25" t="n">
        <f aca="false">ROUND(ตั้งค่า!$C$24*A82^ตั้งค่า!$C$25,0)</f>
        <v>7118280</v>
      </c>
      <c r="C82" s="25" t="n">
        <f aca="false">C81+B81</f>
        <v>135270135</v>
      </c>
      <c r="D82" s="26" t="n">
        <f aca="false">ROUND((ตั้งค่า!$C$12+ตั้งค่า!$C$13*A82)*(1+ตั้งค่า!$C$14)^(A82-1),1)</f>
        <v>762.6</v>
      </c>
      <c r="E82" s="25" t="n">
        <f aca="false">ROUND((ตั้งค่า!$C$15+ตั้งค่า!$C$16*A82)*(1+ตั้งค่า!$C$17)^(A82-1),0)</f>
        <v>2738</v>
      </c>
      <c r="F82" s="25" t="n">
        <f aca="false">ROUND(D82*ตั้งค่า!$C$22,0)</f>
        <v>38</v>
      </c>
      <c r="G82" s="26" t="n">
        <f aca="false">MAX(1,D82-F82)</f>
        <v>724.6</v>
      </c>
      <c r="H82" s="25" t="n">
        <f aca="false">ROUND(ตั้งค่า!$C$20*G82,0)</f>
        <v>2898</v>
      </c>
      <c r="I82" s="25" t="n">
        <f aca="false">MAX(1,ROUND(E82/ตั้งค่า!$C$23,0))</f>
        <v>228</v>
      </c>
      <c r="J82" s="27" t="n">
        <f aca="false">ตั้งค่า!$C$20*ตั้งค่า!$C$18+ตั้งค่า!$C$21</f>
        <v>6.8</v>
      </c>
      <c r="K82" s="27" t="n">
        <f aca="false">ตั้งค่า!$C$10*A82^ตั้งค่า!$C$8+ตั้งค่า!$C$9</f>
        <v>444.195585198721</v>
      </c>
      <c r="L82" s="25" t="n">
        <f aca="false">K82*60/J82</f>
        <v>3919.37281057695</v>
      </c>
      <c r="M82" s="25" t="n">
        <f aca="false">MAX(1,ROUND(B82/L82,0))</f>
        <v>1816</v>
      </c>
      <c r="N82" s="25" t="n">
        <f aca="false">MAX(1,ROUND(M82*ตั้งค่า!$C$26*(1-ตั้งค่า!$C$27),0))</f>
        <v>726</v>
      </c>
      <c r="O82" s="25" t="n">
        <f aca="false">MAX(1,ROUND(M82*ตั้งค่า!$C$26*(1+ตั้งค่า!$C$27),0))</f>
        <v>1090</v>
      </c>
      <c r="P82" s="25" t="n">
        <f aca="false">ROUNDUP(B82/M82,0)</f>
        <v>3920</v>
      </c>
      <c r="Q82" s="27" t="n">
        <f aca="false">P82*J82/60</f>
        <v>444.266666666667</v>
      </c>
      <c r="R82" s="26" t="n">
        <f aca="false">R81+Q81/60</f>
        <v>189.387555555556</v>
      </c>
    </row>
    <row r="83" customFormat="false" ht="15" hidden="false" customHeight="false" outlineLevel="0" collapsed="false">
      <c r="A83" s="3" t="n">
        <v>79</v>
      </c>
      <c r="B83" s="25" t="n">
        <f aca="false">ROUND(ตั้งค่า!$C$24*A83^ตั้งค่า!$C$25,0)</f>
        <v>7395585</v>
      </c>
      <c r="C83" s="25" t="n">
        <f aca="false">C82+B82</f>
        <v>142388415</v>
      </c>
      <c r="D83" s="26" t="n">
        <f aca="false">ROUND((ตั้งค่า!$C$12+ตั้งค่า!$C$13*A83)*(1+ตั้งค่า!$C$14)^(A83-1),1)</f>
        <v>787.3</v>
      </c>
      <c r="E83" s="25" t="n">
        <f aca="false">ROUND((ตั้งค่า!$C$15+ตั้งค่า!$C$16*A83)*(1+ตั้งค่า!$C$17)^(A83-1),0)</f>
        <v>2811</v>
      </c>
      <c r="F83" s="25" t="n">
        <f aca="false">ROUND(D83*ตั้งค่า!$C$22,0)</f>
        <v>39</v>
      </c>
      <c r="G83" s="26" t="n">
        <f aca="false">MAX(1,D83-F83)</f>
        <v>748.3</v>
      </c>
      <c r="H83" s="25" t="n">
        <f aca="false">ROUND(ตั้งค่า!$C$20*G83,0)</f>
        <v>2993</v>
      </c>
      <c r="I83" s="25" t="n">
        <f aca="false">MAX(1,ROUND(E83/ตั้งค่า!$C$23,0))</f>
        <v>234</v>
      </c>
      <c r="J83" s="27" t="n">
        <f aca="false">ตั้งค่า!$C$20*ตั้งค่า!$C$18+ตั้งค่า!$C$21</f>
        <v>6.8</v>
      </c>
      <c r="K83" s="27" t="n">
        <f aca="false">ตั้งค่า!$C$10*A83^ตั้งค่า!$C$8+ตั้งค่า!$C$9</f>
        <v>455.642742804934</v>
      </c>
      <c r="L83" s="25" t="n">
        <f aca="false">K83*60/J83</f>
        <v>4020.37714239648</v>
      </c>
      <c r="M83" s="25" t="n">
        <f aca="false">MAX(1,ROUND(B83/L83,0))</f>
        <v>1840</v>
      </c>
      <c r="N83" s="25" t="n">
        <f aca="false">MAX(1,ROUND(M83*ตั้งค่า!$C$26*(1-ตั้งค่า!$C$27),0))</f>
        <v>736</v>
      </c>
      <c r="O83" s="25" t="n">
        <f aca="false">MAX(1,ROUND(M83*ตั้งค่า!$C$26*(1+ตั้งค่า!$C$27),0))</f>
        <v>1104</v>
      </c>
      <c r="P83" s="25" t="n">
        <f aca="false">ROUNDUP(B83/M83,0)</f>
        <v>4020</v>
      </c>
      <c r="Q83" s="27" t="n">
        <f aca="false">P83*J83/60</f>
        <v>455.6</v>
      </c>
      <c r="R83" s="26" t="n">
        <f aca="false">R82+Q82/60</f>
        <v>196.792</v>
      </c>
    </row>
    <row r="84" customFormat="false" ht="15" hidden="false" customHeight="false" outlineLevel="0" collapsed="false">
      <c r="A84" s="3" t="n">
        <v>80</v>
      </c>
      <c r="B84" s="25" t="n">
        <f aca="false">ROUND(ตั้งค่า!$C$24*A84^ตั้งค่า!$C$25,0)</f>
        <v>7680000</v>
      </c>
      <c r="C84" s="25" t="n">
        <f aca="false">C83+B83</f>
        <v>149784000</v>
      </c>
      <c r="D84" s="26" t="n">
        <f aca="false">ROUND((ตั้งค่า!$C$12+ตั้งค่า!$C$13*A84)*(1+ตั้งค่า!$C$14)^(A84-1),1)</f>
        <v>812.6</v>
      </c>
      <c r="E84" s="25" t="n">
        <f aca="false">ROUND((ตั้งค่า!$C$15+ตั้งค่า!$C$16*A84)*(1+ตั้งค่า!$C$17)^(A84-1),0)</f>
        <v>2885</v>
      </c>
      <c r="F84" s="25" t="n">
        <f aca="false">ROUND(D84*ตั้งค่า!$C$22,0)</f>
        <v>41</v>
      </c>
      <c r="G84" s="26" t="n">
        <f aca="false">MAX(1,D84-F84)</f>
        <v>771.6</v>
      </c>
      <c r="H84" s="25" t="n">
        <f aca="false">ROUND(ตั้งค่า!$C$20*G84,0)</f>
        <v>3086</v>
      </c>
      <c r="I84" s="25" t="n">
        <f aca="false">MAX(1,ROUND(E84/ตั้งค่า!$C$23,0))</f>
        <v>240</v>
      </c>
      <c r="J84" s="27" t="n">
        <f aca="false">ตั้งค่า!$C$20*ตั้งค่า!$C$18+ตั้งค่า!$C$21</f>
        <v>6.8</v>
      </c>
      <c r="K84" s="27" t="n">
        <f aca="false">ตั้งค่า!$C$10*A84^ตั้งค่า!$C$8+ตั้งค่า!$C$9</f>
        <v>467.23572407492</v>
      </c>
      <c r="L84" s="25" t="n">
        <f aca="false">K84*60/J84</f>
        <v>4122.66815360224</v>
      </c>
      <c r="M84" s="25" t="n">
        <f aca="false">MAX(1,ROUND(B84/L84,0))</f>
        <v>1863</v>
      </c>
      <c r="N84" s="25" t="n">
        <f aca="false">MAX(1,ROUND(M84*ตั้งค่า!$C$26*(1-ตั้งค่า!$C$27),0))</f>
        <v>745</v>
      </c>
      <c r="O84" s="25" t="n">
        <f aca="false">MAX(1,ROUND(M84*ตั้งค่า!$C$26*(1+ตั้งค่า!$C$27),0))</f>
        <v>1118</v>
      </c>
      <c r="P84" s="25" t="n">
        <f aca="false">ROUNDUP(B84/M84,0)</f>
        <v>4123</v>
      </c>
      <c r="Q84" s="27" t="n">
        <f aca="false">P84*J84/60</f>
        <v>467.273333333333</v>
      </c>
      <c r="R84" s="26" t="n">
        <f aca="false">R83+Q83/60</f>
        <v>204.385333333333</v>
      </c>
    </row>
    <row r="85" customFormat="false" ht="15" hidden="false" customHeight="false" outlineLevel="0" collapsed="false">
      <c r="A85" s="3" t="n">
        <v>81</v>
      </c>
      <c r="B85" s="25" t="n">
        <f aca="false">ROUND(ตั้งค่า!$C$24*A85^ตั้งค่า!$C$25,0)</f>
        <v>7971615</v>
      </c>
      <c r="C85" s="25" t="n">
        <f aca="false">C84+B84</f>
        <v>157464000</v>
      </c>
      <c r="D85" s="26" t="n">
        <f aca="false">ROUND((ตั้งค่า!$C$12+ตั้งค่า!$C$13*A85)*(1+ตั้งค่า!$C$14)^(A85-1),1)</f>
        <v>838.6</v>
      </c>
      <c r="E85" s="25" t="n">
        <f aca="false">ROUND((ตั้งค่า!$C$15+ตั้งค่า!$C$16*A85)*(1+ตั้งค่า!$C$17)^(A85-1),0)</f>
        <v>2962</v>
      </c>
      <c r="F85" s="25" t="n">
        <f aca="false">ROUND(D85*ตั้งค่า!$C$22,0)</f>
        <v>42</v>
      </c>
      <c r="G85" s="26" t="n">
        <f aca="false">MAX(1,D85-F85)</f>
        <v>796.6</v>
      </c>
      <c r="H85" s="25" t="n">
        <f aca="false">ROUND(ตั้งค่า!$C$20*G85,0)</f>
        <v>3186</v>
      </c>
      <c r="I85" s="25" t="n">
        <f aca="false">MAX(1,ROUND(E85/ตั้งค่า!$C$23,0))</f>
        <v>247</v>
      </c>
      <c r="J85" s="27" t="n">
        <f aca="false">ตั้งค่า!$C$20*ตั้งค่า!$C$18+ตั้งค่า!$C$21</f>
        <v>6.8</v>
      </c>
      <c r="K85" s="27" t="n">
        <f aca="false">ตั้งค่า!$C$10*A85^ตั้งค่า!$C$8+ตั้งค่า!$C$9</f>
        <v>478.97452900868</v>
      </c>
      <c r="L85" s="25" t="n">
        <f aca="false">K85*60/J85</f>
        <v>4226.24584419423</v>
      </c>
      <c r="M85" s="25" t="n">
        <f aca="false">MAX(1,ROUND(B85/L85,0))</f>
        <v>1886</v>
      </c>
      <c r="N85" s="25" t="n">
        <f aca="false">MAX(1,ROUND(M85*ตั้งค่า!$C$26*(1-ตั้งค่า!$C$27),0))</f>
        <v>754</v>
      </c>
      <c r="O85" s="25" t="n">
        <f aca="false">MAX(1,ROUND(M85*ตั้งค่า!$C$26*(1+ตั้งค่า!$C$27),0))</f>
        <v>1132</v>
      </c>
      <c r="P85" s="25" t="n">
        <f aca="false">ROUNDUP(B85/M85,0)</f>
        <v>4227</v>
      </c>
      <c r="Q85" s="27" t="n">
        <f aca="false">P85*J85/60</f>
        <v>479.06</v>
      </c>
      <c r="R85" s="26" t="n">
        <f aca="false">R84+Q84/60</f>
        <v>212.173222222222</v>
      </c>
    </row>
    <row r="86" customFormat="false" ht="15" hidden="false" customHeight="false" outlineLevel="0" collapsed="false">
      <c r="A86" s="3" t="n">
        <v>82</v>
      </c>
      <c r="B86" s="25" t="n">
        <f aca="false">ROUND(ตั้งค่า!$C$24*A86^ตั้งค่า!$C$25,0)</f>
        <v>8270520</v>
      </c>
      <c r="C86" s="25" t="n">
        <f aca="false">C85+B85</f>
        <v>165435615</v>
      </c>
      <c r="D86" s="26" t="n">
        <f aca="false">ROUND((ตั้งค่า!$C$12+ตั้งค่า!$C$13*A86)*(1+ตั้งค่า!$C$14)^(A86-1),1)</f>
        <v>865.3</v>
      </c>
      <c r="E86" s="25" t="n">
        <f aca="false">ROUND((ตั้งค่า!$C$15+ตั้งค่า!$C$16*A86)*(1+ตั้งค่า!$C$17)^(A86-1),0)</f>
        <v>3039</v>
      </c>
      <c r="F86" s="25" t="n">
        <f aca="false">ROUND(D86*ตั้งค่า!$C$22,0)</f>
        <v>43</v>
      </c>
      <c r="G86" s="26" t="n">
        <f aca="false">MAX(1,D86-F86)</f>
        <v>822.3</v>
      </c>
      <c r="H86" s="25" t="n">
        <f aca="false">ROUND(ตั้งค่า!$C$20*G86,0)</f>
        <v>3289</v>
      </c>
      <c r="I86" s="25" t="n">
        <f aca="false">MAX(1,ROUND(E86/ตั้งค่า!$C$23,0))</f>
        <v>253</v>
      </c>
      <c r="J86" s="27" t="n">
        <f aca="false">ตั้งค่า!$C$20*ตั้งค่า!$C$18+ตั้งค่า!$C$21</f>
        <v>6.8</v>
      </c>
      <c r="K86" s="27" t="n">
        <f aca="false">ตั้งค่า!$C$10*A86^ตั้งค่า!$C$8+ตั้งค่า!$C$9</f>
        <v>490.859157606213</v>
      </c>
      <c r="L86" s="25" t="n">
        <f aca="false">K86*60/J86</f>
        <v>4331.11021417247</v>
      </c>
      <c r="M86" s="25" t="n">
        <f aca="false">MAX(1,ROUND(B86/L86,0))</f>
        <v>1910</v>
      </c>
      <c r="N86" s="25" t="n">
        <f aca="false">MAX(1,ROUND(M86*ตั้งค่า!$C$26*(1-ตั้งค่า!$C$27),0))</f>
        <v>764</v>
      </c>
      <c r="O86" s="25" t="n">
        <f aca="false">MAX(1,ROUND(M86*ตั้งค่า!$C$26*(1+ตั้งค่า!$C$27),0))</f>
        <v>1146</v>
      </c>
      <c r="P86" s="25" t="n">
        <f aca="false">ROUNDUP(B86/M86,0)</f>
        <v>4331</v>
      </c>
      <c r="Q86" s="27" t="n">
        <f aca="false">P86*J86/60</f>
        <v>490.846666666667</v>
      </c>
      <c r="R86" s="26" t="n">
        <f aca="false">R85+Q85/60</f>
        <v>220.157555555556</v>
      </c>
    </row>
    <row r="87" customFormat="false" ht="15" hidden="false" customHeight="false" outlineLevel="0" collapsed="false">
      <c r="A87" s="3" t="n">
        <v>83</v>
      </c>
      <c r="B87" s="25" t="n">
        <f aca="false">ROUND(ตั้งค่า!$C$24*A87^ตั้งค่า!$C$25,0)</f>
        <v>8576805</v>
      </c>
      <c r="C87" s="25" t="n">
        <f aca="false">C86+B86</f>
        <v>173706135</v>
      </c>
      <c r="D87" s="26" t="n">
        <f aca="false">ROUND((ตั้งค่า!$C$12+ตั้งค่า!$C$13*A87)*(1+ตั้งค่า!$C$14)^(A87-1),1)</f>
        <v>892.7</v>
      </c>
      <c r="E87" s="25" t="n">
        <f aca="false">ROUND((ตั้งค่า!$C$15+ตั้งค่า!$C$16*A87)*(1+ตั้งค่า!$C$17)^(A87-1),0)</f>
        <v>3119</v>
      </c>
      <c r="F87" s="25" t="n">
        <f aca="false">ROUND(D87*ตั้งค่า!$C$22,0)</f>
        <v>45</v>
      </c>
      <c r="G87" s="26" t="n">
        <f aca="false">MAX(1,D87-F87)</f>
        <v>847.7</v>
      </c>
      <c r="H87" s="25" t="n">
        <f aca="false">ROUND(ตั้งค่า!$C$20*G87,0)</f>
        <v>3391</v>
      </c>
      <c r="I87" s="25" t="n">
        <f aca="false">MAX(1,ROUND(E87/ตั้งค่า!$C$23,0))</f>
        <v>260</v>
      </c>
      <c r="J87" s="27" t="n">
        <f aca="false">ตั้งค่า!$C$20*ตั้งค่า!$C$18+ตั้งค่า!$C$21</f>
        <v>6.8</v>
      </c>
      <c r="K87" s="27" t="n">
        <f aca="false">ตั้งค่า!$C$10*A87^ตั้งค่า!$C$8+ตั้งค่า!$C$9</f>
        <v>502.889609867519</v>
      </c>
      <c r="L87" s="25" t="n">
        <f aca="false">K87*60/J87</f>
        <v>4437.26126353694</v>
      </c>
      <c r="M87" s="25" t="n">
        <f aca="false">MAX(1,ROUND(B87/L87,0))</f>
        <v>1933</v>
      </c>
      <c r="N87" s="25" t="n">
        <f aca="false">MAX(1,ROUND(M87*ตั้งค่า!$C$26*(1-ตั้งค่า!$C$27),0))</f>
        <v>773</v>
      </c>
      <c r="O87" s="25" t="n">
        <f aca="false">MAX(1,ROUND(M87*ตั้งค่า!$C$26*(1+ตั้งค่า!$C$27),0))</f>
        <v>1160</v>
      </c>
      <c r="P87" s="25" t="n">
        <f aca="false">ROUNDUP(B87/M87,0)</f>
        <v>4438</v>
      </c>
      <c r="Q87" s="27" t="n">
        <f aca="false">P87*J87/60</f>
        <v>502.973333333333</v>
      </c>
      <c r="R87" s="26" t="n">
        <f aca="false">R86+Q86/60</f>
        <v>228.338333333333</v>
      </c>
    </row>
    <row r="88" customFormat="false" ht="15" hidden="false" customHeight="false" outlineLevel="0" collapsed="false">
      <c r="A88" s="3" t="n">
        <v>84</v>
      </c>
      <c r="B88" s="25" t="n">
        <f aca="false">ROUND(ตั้งค่า!$C$24*A88^ตั้งค่า!$C$25,0)</f>
        <v>8890560</v>
      </c>
      <c r="C88" s="25" t="n">
        <f aca="false">C87+B87</f>
        <v>182282940</v>
      </c>
      <c r="D88" s="26" t="n">
        <f aca="false">ROUND((ตั้งค่า!$C$12+ตั้งค่า!$C$13*A88)*(1+ตั้งค่า!$C$14)^(A88-1),1)</f>
        <v>920.9</v>
      </c>
      <c r="E88" s="25" t="n">
        <f aca="false">ROUND((ตั้งค่า!$C$15+ตั้งค่า!$C$16*A88)*(1+ตั้งค่า!$C$17)^(A88-1),0)</f>
        <v>3200</v>
      </c>
      <c r="F88" s="25" t="n">
        <f aca="false">ROUND(D88*ตั้งค่า!$C$22,0)</f>
        <v>46</v>
      </c>
      <c r="G88" s="26" t="n">
        <f aca="false">MAX(1,D88-F88)</f>
        <v>874.9</v>
      </c>
      <c r="H88" s="25" t="n">
        <f aca="false">ROUND(ตั้งค่า!$C$20*G88,0)</f>
        <v>3500</v>
      </c>
      <c r="I88" s="25" t="n">
        <f aca="false">MAX(1,ROUND(E88/ตั้งค่า!$C$23,0))</f>
        <v>267</v>
      </c>
      <c r="J88" s="27" t="n">
        <f aca="false">ตั้งค่า!$C$20*ตั้งค่า!$C$18+ตั้งค่า!$C$21</f>
        <v>6.8</v>
      </c>
      <c r="K88" s="27" t="n">
        <f aca="false">ตั้งค่า!$C$10*A88^ตั้งค่า!$C$8+ตั้งค่า!$C$9</f>
        <v>515.065885792599</v>
      </c>
      <c r="L88" s="25" t="n">
        <f aca="false">K88*60/J88</f>
        <v>4544.69899228764</v>
      </c>
      <c r="M88" s="25" t="n">
        <f aca="false">MAX(1,ROUND(B88/L88,0))</f>
        <v>1956</v>
      </c>
      <c r="N88" s="25" t="n">
        <f aca="false">MAX(1,ROUND(M88*ตั้งค่า!$C$26*(1-ตั้งค่า!$C$27),0))</f>
        <v>782</v>
      </c>
      <c r="O88" s="25" t="n">
        <f aca="false">MAX(1,ROUND(M88*ตั้งค่า!$C$26*(1+ตั้งค่า!$C$27),0))</f>
        <v>1174</v>
      </c>
      <c r="P88" s="25" t="n">
        <f aca="false">ROUNDUP(B88/M88,0)</f>
        <v>4546</v>
      </c>
      <c r="Q88" s="27" t="n">
        <f aca="false">P88*J88/60</f>
        <v>515.213333333333</v>
      </c>
      <c r="R88" s="26" t="n">
        <f aca="false">R87+Q87/60</f>
        <v>236.721222222222</v>
      </c>
    </row>
    <row r="89" customFormat="false" ht="15" hidden="false" customHeight="false" outlineLevel="0" collapsed="false">
      <c r="A89" s="3" t="n">
        <v>85</v>
      </c>
      <c r="B89" s="25" t="n">
        <f aca="false">ROUND(ตั้งค่า!$C$24*A89^ตั้งค่า!$C$25,0)</f>
        <v>9211875</v>
      </c>
      <c r="C89" s="25" t="n">
        <f aca="false">C88+B88</f>
        <v>191173500</v>
      </c>
      <c r="D89" s="26" t="n">
        <f aca="false">ROUND((ตั้งค่า!$C$12+ตั้งค่า!$C$13*A89)*(1+ตั้งค่า!$C$14)^(A89-1),1)</f>
        <v>949.9</v>
      </c>
      <c r="E89" s="25" t="n">
        <f aca="false">ROUND((ตั้งค่า!$C$15+ตั้งค่า!$C$16*A89)*(1+ตั้งค่า!$C$17)^(A89-1),0)</f>
        <v>3283</v>
      </c>
      <c r="F89" s="25" t="n">
        <f aca="false">ROUND(D89*ตั้งค่า!$C$22,0)</f>
        <v>47</v>
      </c>
      <c r="G89" s="26" t="n">
        <f aca="false">MAX(1,D89-F89)</f>
        <v>902.9</v>
      </c>
      <c r="H89" s="25" t="n">
        <f aca="false">ROUND(ตั้งค่า!$C$20*G89,0)</f>
        <v>3612</v>
      </c>
      <c r="I89" s="25" t="n">
        <f aca="false">MAX(1,ROUND(E89/ตั้งค่า!$C$23,0))</f>
        <v>274</v>
      </c>
      <c r="J89" s="27" t="n">
        <f aca="false">ตั้งค่า!$C$20*ตั้งค่า!$C$18+ตั้งค่า!$C$21</f>
        <v>6.8</v>
      </c>
      <c r="K89" s="27" t="n">
        <f aca="false">ตั้งค่า!$C$10*A89^ตั้งค่า!$C$8+ตั้งค่า!$C$9</f>
        <v>527.387985381453</v>
      </c>
      <c r="L89" s="25" t="n">
        <f aca="false">K89*60/J89</f>
        <v>4653.42340042458</v>
      </c>
      <c r="M89" s="25" t="n">
        <f aca="false">MAX(1,ROUND(B89/L89,0))</f>
        <v>1980</v>
      </c>
      <c r="N89" s="25" t="n">
        <f aca="false">MAX(1,ROUND(M89*ตั้งค่า!$C$26*(1-ตั้งค่า!$C$27),0))</f>
        <v>792</v>
      </c>
      <c r="O89" s="25" t="n">
        <f aca="false">MAX(1,ROUND(M89*ตั้งค่า!$C$26*(1+ตั้งค่า!$C$27),0))</f>
        <v>1188</v>
      </c>
      <c r="P89" s="25" t="n">
        <f aca="false">ROUNDUP(B89/M89,0)</f>
        <v>4653</v>
      </c>
      <c r="Q89" s="27" t="n">
        <f aca="false">P89*J89/60</f>
        <v>527.34</v>
      </c>
      <c r="R89" s="26" t="n">
        <f aca="false">R88+Q88/60</f>
        <v>245.308111111111</v>
      </c>
    </row>
    <row r="90" customFormat="false" ht="15" hidden="false" customHeight="false" outlineLevel="0" collapsed="false">
      <c r="A90" s="3" t="n">
        <v>86</v>
      </c>
      <c r="B90" s="25" t="n">
        <f aca="false">ROUND(ตั้งค่า!$C$24*A90^ตั้งค่า!$C$25,0)</f>
        <v>9540840</v>
      </c>
      <c r="C90" s="25" t="n">
        <f aca="false">C89+B89</f>
        <v>200385375</v>
      </c>
      <c r="D90" s="26" t="n">
        <f aca="false">ROUND((ตั้งค่า!$C$12+ตั้งค่า!$C$13*A90)*(1+ตั้งค่า!$C$14)^(A90-1),1)</f>
        <v>979.7</v>
      </c>
      <c r="E90" s="25" t="n">
        <f aca="false">ROUND((ตั้งค่า!$C$15+ตั้งค่า!$C$16*A90)*(1+ตั้งค่า!$C$17)^(A90-1),0)</f>
        <v>3368</v>
      </c>
      <c r="F90" s="25" t="n">
        <f aca="false">ROUND(D90*ตั้งค่า!$C$22,0)</f>
        <v>49</v>
      </c>
      <c r="G90" s="26" t="n">
        <f aca="false">MAX(1,D90-F90)</f>
        <v>930.7</v>
      </c>
      <c r="H90" s="25" t="n">
        <f aca="false">ROUND(ตั้งค่า!$C$20*G90,0)</f>
        <v>3723</v>
      </c>
      <c r="I90" s="25" t="n">
        <f aca="false">MAX(1,ROUND(E90/ตั้งค่า!$C$23,0))</f>
        <v>281</v>
      </c>
      <c r="J90" s="27" t="n">
        <f aca="false">ตั้งค่า!$C$20*ตั้งค่า!$C$18+ตั้งค่า!$C$21</f>
        <v>6.8</v>
      </c>
      <c r="K90" s="27" t="n">
        <f aca="false">ตั้งค่า!$C$10*A90^ตั้งค่า!$C$8+ตั้งค่า!$C$9</f>
        <v>539.85590863408</v>
      </c>
      <c r="L90" s="25" t="n">
        <f aca="false">K90*60/J90</f>
        <v>4763.43448794776</v>
      </c>
      <c r="M90" s="25" t="n">
        <f aca="false">MAX(1,ROUND(B90/L90,0))</f>
        <v>2003</v>
      </c>
      <c r="N90" s="25" t="n">
        <f aca="false">MAX(1,ROUND(M90*ตั้งค่า!$C$26*(1-ตั้งค่า!$C$27),0))</f>
        <v>801</v>
      </c>
      <c r="O90" s="25" t="n">
        <f aca="false">MAX(1,ROUND(M90*ตั้งค่า!$C$26*(1+ตั้งค่า!$C$27),0))</f>
        <v>1202</v>
      </c>
      <c r="P90" s="25" t="n">
        <f aca="false">ROUNDUP(B90/M90,0)</f>
        <v>4764</v>
      </c>
      <c r="Q90" s="27" t="n">
        <f aca="false">P90*J90/60</f>
        <v>539.92</v>
      </c>
      <c r="R90" s="26" t="n">
        <f aca="false">R89+Q89/60</f>
        <v>254.097111111111</v>
      </c>
    </row>
    <row r="91" customFormat="false" ht="15" hidden="false" customHeight="false" outlineLevel="0" collapsed="false">
      <c r="A91" s="3" t="n">
        <v>87</v>
      </c>
      <c r="B91" s="25" t="n">
        <f aca="false">ROUND(ตั้งค่า!$C$24*A91^ตั้งค่า!$C$25,0)</f>
        <v>9877545</v>
      </c>
      <c r="C91" s="25" t="n">
        <f aca="false">C90+B90</f>
        <v>209926215</v>
      </c>
      <c r="D91" s="26" t="n">
        <f aca="false">ROUND((ตั้งค่า!$C$12+ตั้งค่า!$C$13*A91)*(1+ตั้งค่า!$C$14)^(A91-1),1)</f>
        <v>1010.3</v>
      </c>
      <c r="E91" s="25" t="n">
        <f aca="false">ROUND((ตั้งค่า!$C$15+ตั้งค่า!$C$16*A91)*(1+ตั้งค่า!$C$17)^(A91-1),0)</f>
        <v>3454</v>
      </c>
      <c r="F91" s="25" t="n">
        <f aca="false">ROUND(D91*ตั้งค่า!$C$22,0)</f>
        <v>51</v>
      </c>
      <c r="G91" s="26" t="n">
        <f aca="false">MAX(1,D91-F91)</f>
        <v>959.3</v>
      </c>
      <c r="H91" s="25" t="n">
        <f aca="false">ROUND(ตั้งค่า!$C$20*G91,0)</f>
        <v>3837</v>
      </c>
      <c r="I91" s="25" t="n">
        <f aca="false">MAX(1,ROUND(E91/ตั้งค่า!$C$23,0))</f>
        <v>288</v>
      </c>
      <c r="J91" s="27" t="n">
        <f aca="false">ตั้งค่า!$C$20*ตั้งค่า!$C$18+ตั้งค่า!$C$21</f>
        <v>6.8</v>
      </c>
      <c r="K91" s="27" t="n">
        <f aca="false">ตั้งค่า!$C$10*A91^ตั้งค่า!$C$8+ตั้งค่า!$C$9</f>
        <v>552.46965555048</v>
      </c>
      <c r="L91" s="25" t="n">
        <f aca="false">K91*60/J91</f>
        <v>4874.73225485717</v>
      </c>
      <c r="M91" s="25" t="n">
        <f aca="false">MAX(1,ROUND(B91/L91,0))</f>
        <v>2026</v>
      </c>
      <c r="N91" s="25" t="n">
        <f aca="false">MAX(1,ROUND(M91*ตั้งค่า!$C$26*(1-ตั้งค่า!$C$27),0))</f>
        <v>810</v>
      </c>
      <c r="O91" s="25" t="n">
        <f aca="false">MAX(1,ROUND(M91*ตั้งค่า!$C$26*(1+ตั้งค่า!$C$27),0))</f>
        <v>1216</v>
      </c>
      <c r="P91" s="25" t="n">
        <f aca="false">ROUNDUP(B91/M91,0)</f>
        <v>4876</v>
      </c>
      <c r="Q91" s="27" t="n">
        <f aca="false">P91*J91/60</f>
        <v>552.613333333333</v>
      </c>
      <c r="R91" s="26" t="n">
        <f aca="false">R90+Q90/60</f>
        <v>263.095777777778</v>
      </c>
    </row>
    <row r="92" customFormat="false" ht="15" hidden="false" customHeight="false" outlineLevel="0" collapsed="false">
      <c r="A92" s="3" t="n">
        <v>88</v>
      </c>
      <c r="B92" s="25" t="n">
        <f aca="false">ROUND(ตั้งค่า!$C$24*A92^ตั้งค่า!$C$25,0)</f>
        <v>10222080</v>
      </c>
      <c r="C92" s="25" t="n">
        <f aca="false">C91+B91</f>
        <v>219803760</v>
      </c>
      <c r="D92" s="26" t="n">
        <f aca="false">ROUND((ตั้งค่า!$C$12+ตั้งค่า!$C$13*A92)*(1+ตั้งค่า!$C$14)^(A92-1),1)</f>
        <v>1041.7</v>
      </c>
      <c r="E92" s="25" t="n">
        <f aca="false">ROUND((ตั้งค่า!$C$15+ตั้งค่า!$C$16*A92)*(1+ตั้งค่า!$C$17)^(A92-1),0)</f>
        <v>3543</v>
      </c>
      <c r="F92" s="25" t="n">
        <f aca="false">ROUND(D92*ตั้งค่า!$C$22,0)</f>
        <v>52</v>
      </c>
      <c r="G92" s="26" t="n">
        <f aca="false">MAX(1,D92-F92)</f>
        <v>989.7</v>
      </c>
      <c r="H92" s="25" t="n">
        <f aca="false">ROUND(ตั้งค่า!$C$20*G92,0)</f>
        <v>3959</v>
      </c>
      <c r="I92" s="25" t="n">
        <f aca="false">MAX(1,ROUND(E92/ตั้งค่า!$C$23,0))</f>
        <v>295</v>
      </c>
      <c r="J92" s="27" t="n">
        <f aca="false">ตั้งค่า!$C$20*ตั้งค่า!$C$18+ตั้งค่า!$C$21</f>
        <v>6.8</v>
      </c>
      <c r="K92" s="27" t="n">
        <f aca="false">ตั้งค่า!$C$10*A92^ตั้งค่า!$C$8+ตั้งค่า!$C$9</f>
        <v>565.229226130653</v>
      </c>
      <c r="L92" s="25" t="n">
        <f aca="false">K92*60/J92</f>
        <v>4987.31670115282</v>
      </c>
      <c r="M92" s="25" t="n">
        <f aca="false">MAX(1,ROUND(B92/L92,0))</f>
        <v>2050</v>
      </c>
      <c r="N92" s="25" t="n">
        <f aca="false">MAX(1,ROUND(M92*ตั้งค่า!$C$26*(1-ตั้งค่า!$C$27),0))</f>
        <v>820</v>
      </c>
      <c r="O92" s="25" t="n">
        <f aca="false">MAX(1,ROUND(M92*ตั้งค่า!$C$26*(1+ตั้งค่า!$C$27),0))</f>
        <v>1230</v>
      </c>
      <c r="P92" s="25" t="n">
        <f aca="false">ROUNDUP(B92/M92,0)</f>
        <v>4987</v>
      </c>
      <c r="Q92" s="27" t="n">
        <f aca="false">P92*J92/60</f>
        <v>565.193333333333</v>
      </c>
      <c r="R92" s="26" t="n">
        <f aca="false">R91+Q91/60</f>
        <v>272.306</v>
      </c>
    </row>
    <row r="93" customFormat="false" ht="15" hidden="false" customHeight="false" outlineLevel="0" collapsed="false">
      <c r="A93" s="3" t="n">
        <v>89</v>
      </c>
      <c r="B93" s="25" t="n">
        <f aca="false">ROUND(ตั้งค่า!$C$24*A93^ตั้งค่า!$C$25,0)</f>
        <v>10574535</v>
      </c>
      <c r="C93" s="25" t="n">
        <f aca="false">C92+B92</f>
        <v>230025840</v>
      </c>
      <c r="D93" s="26" t="n">
        <f aca="false">ROUND((ตั้งค่า!$C$12+ตั้งค่า!$C$13*A93)*(1+ตั้งค่า!$C$14)^(A93-1),1)</f>
        <v>1073.9</v>
      </c>
      <c r="E93" s="25" t="n">
        <f aca="false">ROUND((ตั้งค่า!$C$15+ตั้งค่า!$C$16*A93)*(1+ตั้งค่า!$C$17)^(A93-1),0)</f>
        <v>3633</v>
      </c>
      <c r="F93" s="25" t="n">
        <f aca="false">ROUND(D93*ตั้งค่า!$C$22,0)</f>
        <v>54</v>
      </c>
      <c r="G93" s="26" t="n">
        <f aca="false">MAX(1,D93-F93)</f>
        <v>1019.9</v>
      </c>
      <c r="H93" s="25" t="n">
        <f aca="false">ROUND(ตั้งค่า!$C$20*G93,0)</f>
        <v>4080</v>
      </c>
      <c r="I93" s="25" t="n">
        <f aca="false">MAX(1,ROUND(E93/ตั้งค่า!$C$23,0))</f>
        <v>303</v>
      </c>
      <c r="J93" s="27" t="n">
        <f aca="false">ตั้งค่า!$C$20*ตั้งค่า!$C$18+ตั้งค่า!$C$21</f>
        <v>6.8</v>
      </c>
      <c r="K93" s="27" t="n">
        <f aca="false">ตั้งค่า!$C$10*A93^ตั้งค่า!$C$8+ตั้งค่า!$C$9</f>
        <v>578.1346203746</v>
      </c>
      <c r="L93" s="25" t="n">
        <f aca="false">K93*60/J93</f>
        <v>5101.18782683471</v>
      </c>
      <c r="M93" s="25" t="n">
        <f aca="false">MAX(1,ROUND(B93/L93,0))</f>
        <v>2073</v>
      </c>
      <c r="N93" s="25" t="n">
        <f aca="false">MAX(1,ROUND(M93*ตั้งค่า!$C$26*(1-ตั้งค่า!$C$27),0))</f>
        <v>829</v>
      </c>
      <c r="O93" s="25" t="n">
        <f aca="false">MAX(1,ROUND(M93*ตั้งค่า!$C$26*(1+ตั้งค่า!$C$27),0))</f>
        <v>1244</v>
      </c>
      <c r="P93" s="25" t="n">
        <f aca="false">ROUNDUP(B93/M93,0)</f>
        <v>5102</v>
      </c>
      <c r="Q93" s="27" t="n">
        <f aca="false">P93*J93/60</f>
        <v>578.226666666667</v>
      </c>
      <c r="R93" s="26" t="n">
        <f aca="false">R92+Q92/60</f>
        <v>281.725888888889</v>
      </c>
    </row>
    <row r="94" customFormat="false" ht="15" hidden="false" customHeight="false" outlineLevel="0" collapsed="false">
      <c r="A94" s="3" t="n">
        <v>90</v>
      </c>
      <c r="B94" s="25" t="n">
        <f aca="false">ROUND(ตั้งค่า!$C$24*A94^ตั้งค่า!$C$25,0)</f>
        <v>10935000</v>
      </c>
      <c r="C94" s="25" t="n">
        <f aca="false">C93+B93</f>
        <v>240600375</v>
      </c>
      <c r="D94" s="26" t="n">
        <f aca="false">ROUND((ตั้งค่า!$C$12+ตั้งค่า!$C$13*A94)*(1+ตั้งค่า!$C$14)^(A94-1),1)</f>
        <v>1107.1</v>
      </c>
      <c r="E94" s="25" t="n">
        <f aca="false">ROUND((ตั้งค่า!$C$15+ตั้งค่า!$C$16*A94)*(1+ตั้งค่า!$C$17)^(A94-1),0)</f>
        <v>3725</v>
      </c>
      <c r="F94" s="25" t="n">
        <f aca="false">ROUND(D94*ตั้งค่า!$C$22,0)</f>
        <v>55</v>
      </c>
      <c r="G94" s="26" t="n">
        <f aca="false">MAX(1,D94-F94)</f>
        <v>1052.1</v>
      </c>
      <c r="H94" s="25" t="n">
        <f aca="false">ROUND(ตั้งค่า!$C$20*G94,0)</f>
        <v>4208</v>
      </c>
      <c r="I94" s="25" t="n">
        <f aca="false">MAX(1,ROUND(E94/ตั้งค่า!$C$23,0))</f>
        <v>310</v>
      </c>
      <c r="J94" s="27" t="n">
        <f aca="false">ตั้งค่า!$C$20*ตั้งค่า!$C$18+ตั้งค่า!$C$21</f>
        <v>6.8</v>
      </c>
      <c r="K94" s="27" t="n">
        <f aca="false">ตั้งค่า!$C$10*A94^ตั้งค่า!$C$8+ตั้งค่า!$C$9</f>
        <v>591.185838282321</v>
      </c>
      <c r="L94" s="25" t="n">
        <f aca="false">K94*60/J94</f>
        <v>5216.34563190283</v>
      </c>
      <c r="M94" s="25" t="n">
        <f aca="false">MAX(1,ROUND(B94/L94,0))</f>
        <v>2096</v>
      </c>
      <c r="N94" s="25" t="n">
        <f aca="false">MAX(1,ROUND(M94*ตั้งค่า!$C$26*(1-ตั้งค่า!$C$27),0))</f>
        <v>838</v>
      </c>
      <c r="O94" s="25" t="n">
        <f aca="false">MAX(1,ROUND(M94*ตั้งค่า!$C$26*(1+ตั้งค่า!$C$27),0))</f>
        <v>1258</v>
      </c>
      <c r="P94" s="25" t="n">
        <f aca="false">ROUNDUP(B94/M94,0)</f>
        <v>5218</v>
      </c>
      <c r="Q94" s="27" t="n">
        <f aca="false">P94*J94/60</f>
        <v>591.373333333333</v>
      </c>
      <c r="R94" s="26" t="n">
        <f aca="false">R93+Q93/60</f>
        <v>291.363</v>
      </c>
    </row>
    <row r="95" customFormat="false" ht="15" hidden="false" customHeight="false" outlineLevel="0" collapsed="false">
      <c r="A95" s="3" t="n">
        <v>91</v>
      </c>
      <c r="B95" s="25" t="n">
        <f aca="false">ROUND(ตั้งค่า!$C$24*A95^ตั้งค่า!$C$25,0)</f>
        <v>11303565</v>
      </c>
      <c r="C95" s="25" t="n">
        <f aca="false">C94+B94</f>
        <v>251535375</v>
      </c>
      <c r="D95" s="26" t="n">
        <f aca="false">ROUND((ตั้งค่า!$C$12+ตั้งค่า!$C$13*A95)*(1+ตั้งค่า!$C$14)^(A95-1),1)</f>
        <v>1141.1</v>
      </c>
      <c r="E95" s="25" t="n">
        <f aca="false">ROUND((ตั้งค่า!$C$15+ตั้งค่า!$C$16*A95)*(1+ตั้งค่า!$C$17)^(A95-1),0)</f>
        <v>3819</v>
      </c>
      <c r="F95" s="25" t="n">
        <f aca="false">ROUND(D95*ตั้งค่า!$C$22,0)</f>
        <v>57</v>
      </c>
      <c r="G95" s="26" t="n">
        <f aca="false">MAX(1,D95-F95)</f>
        <v>1084.1</v>
      </c>
      <c r="H95" s="25" t="n">
        <f aca="false">ROUND(ตั้งค่า!$C$20*G95,0)</f>
        <v>4336</v>
      </c>
      <c r="I95" s="25" t="n">
        <f aca="false">MAX(1,ROUND(E95/ตั้งค่า!$C$23,0))</f>
        <v>318</v>
      </c>
      <c r="J95" s="27" t="n">
        <f aca="false">ตั้งค่า!$C$20*ตั้งค่า!$C$18+ตั้งค่า!$C$21</f>
        <v>6.8</v>
      </c>
      <c r="K95" s="27" t="n">
        <f aca="false">ตั้งค่า!$C$10*A95^ตั้งค่า!$C$8+ตั้งค่า!$C$9</f>
        <v>604.382879853815</v>
      </c>
      <c r="L95" s="25" t="n">
        <f aca="false">K95*60/J95</f>
        <v>5332.79011635719</v>
      </c>
      <c r="M95" s="25" t="n">
        <f aca="false">MAX(1,ROUND(B95/L95,0))</f>
        <v>2120</v>
      </c>
      <c r="N95" s="25" t="n">
        <f aca="false">MAX(1,ROUND(M95*ตั้งค่า!$C$26*(1-ตั้งค่า!$C$27),0))</f>
        <v>848</v>
      </c>
      <c r="O95" s="25" t="n">
        <f aca="false">MAX(1,ROUND(M95*ตั้งค่า!$C$26*(1+ตั้งค่า!$C$27),0))</f>
        <v>1272</v>
      </c>
      <c r="P95" s="25" t="n">
        <f aca="false">ROUNDUP(B95/M95,0)</f>
        <v>5332</v>
      </c>
      <c r="Q95" s="27" t="n">
        <f aca="false">P95*J95/60</f>
        <v>604.293333333333</v>
      </c>
      <c r="R95" s="26" t="n">
        <f aca="false">R94+Q94/60</f>
        <v>301.219222222222</v>
      </c>
    </row>
    <row r="96" customFormat="false" ht="15" hidden="false" customHeight="false" outlineLevel="0" collapsed="false">
      <c r="A96" s="3" t="n">
        <v>92</v>
      </c>
      <c r="B96" s="25" t="n">
        <f aca="false">ROUND(ตั้งค่า!$C$24*A96^ตั้งค่า!$C$25,0)</f>
        <v>11680320</v>
      </c>
      <c r="C96" s="25" t="n">
        <f aca="false">C95+B95</f>
        <v>262838940</v>
      </c>
      <c r="D96" s="26" t="n">
        <f aca="false">ROUND((ตั้งค่า!$C$12+ตั้งค่า!$C$13*A96)*(1+ตั้งค่า!$C$14)^(A96-1),1)</f>
        <v>1176</v>
      </c>
      <c r="E96" s="25" t="n">
        <f aca="false">ROUND((ตั้งค่า!$C$15+ตั้งค่า!$C$16*A96)*(1+ตั้งค่า!$C$17)^(A96-1),0)</f>
        <v>3915</v>
      </c>
      <c r="F96" s="25" t="n">
        <f aca="false">ROUND(D96*ตั้งค่า!$C$22,0)</f>
        <v>59</v>
      </c>
      <c r="G96" s="26" t="n">
        <f aca="false">MAX(1,D96-F96)</f>
        <v>1117</v>
      </c>
      <c r="H96" s="25" t="n">
        <f aca="false">ROUND(ตั้งค่า!$C$20*G96,0)</f>
        <v>4468</v>
      </c>
      <c r="I96" s="25" t="n">
        <f aca="false">MAX(1,ROUND(E96/ตั้งค่า!$C$23,0))</f>
        <v>326</v>
      </c>
      <c r="J96" s="27" t="n">
        <f aca="false">ตั้งค่า!$C$20*ตั้งค่า!$C$18+ตั้งค่า!$C$21</f>
        <v>6.8</v>
      </c>
      <c r="K96" s="27" t="n">
        <f aca="false">ตั้งค่า!$C$10*A96^ตั้งค่า!$C$8+ตั้งค่า!$C$9</f>
        <v>617.725745089082</v>
      </c>
      <c r="L96" s="25" t="n">
        <f aca="false">K96*60/J96</f>
        <v>5450.52128019778</v>
      </c>
      <c r="M96" s="25" t="n">
        <f aca="false">MAX(1,ROUND(B96/L96,0))</f>
        <v>2143</v>
      </c>
      <c r="N96" s="25" t="n">
        <f aca="false">MAX(1,ROUND(M96*ตั้งค่า!$C$26*(1-ตั้งค่า!$C$27),0))</f>
        <v>857</v>
      </c>
      <c r="O96" s="25" t="n">
        <f aca="false">MAX(1,ROUND(M96*ตั้งค่า!$C$26*(1+ตั้งค่า!$C$27),0))</f>
        <v>1286</v>
      </c>
      <c r="P96" s="25" t="n">
        <f aca="false">ROUNDUP(B96/M96,0)</f>
        <v>5451</v>
      </c>
      <c r="Q96" s="27" t="n">
        <f aca="false">P96*J96/60</f>
        <v>617.78</v>
      </c>
      <c r="R96" s="26" t="n">
        <f aca="false">R95+Q95/60</f>
        <v>311.290777777778</v>
      </c>
    </row>
    <row r="97" customFormat="false" ht="15" hidden="false" customHeight="false" outlineLevel="0" collapsed="false">
      <c r="A97" s="3" t="n">
        <v>93</v>
      </c>
      <c r="B97" s="25" t="n">
        <f aca="false">ROUND(ตั้งค่า!$C$24*A97^ตั้งค่า!$C$25,0)</f>
        <v>12065355</v>
      </c>
      <c r="C97" s="25" t="n">
        <f aca="false">C96+B96</f>
        <v>274519260</v>
      </c>
      <c r="D97" s="26" t="n">
        <f aca="false">ROUND((ตั้งค่า!$C$12+ตั้งค่า!$C$13*A97)*(1+ตั้งค่า!$C$14)^(A97-1),1)</f>
        <v>1211.9</v>
      </c>
      <c r="E97" s="25" t="n">
        <f aca="false">ROUND((ตั้งค่า!$C$15+ตั้งค่า!$C$16*A97)*(1+ตั้งค่า!$C$17)^(A97-1),0)</f>
        <v>4013</v>
      </c>
      <c r="F97" s="25" t="n">
        <f aca="false">ROUND(D97*ตั้งค่า!$C$22,0)</f>
        <v>61</v>
      </c>
      <c r="G97" s="26" t="n">
        <f aca="false">MAX(1,D97-F97)</f>
        <v>1150.9</v>
      </c>
      <c r="H97" s="25" t="n">
        <f aca="false">ROUND(ตั้งค่า!$C$20*G97,0)</f>
        <v>4604</v>
      </c>
      <c r="I97" s="25" t="n">
        <f aca="false">MAX(1,ROUND(E97/ตั้งค่า!$C$23,0))</f>
        <v>334</v>
      </c>
      <c r="J97" s="27" t="n">
        <f aca="false">ตั้งค่า!$C$20*ตั้งค่า!$C$18+ตั้งค่า!$C$21</f>
        <v>6.8</v>
      </c>
      <c r="K97" s="27" t="n">
        <f aca="false">ตั้งค่า!$C$10*A97^ตั้งค่า!$C$8+ตั้งค่า!$C$9</f>
        <v>631.214433988122</v>
      </c>
      <c r="L97" s="25" t="n">
        <f aca="false">K97*60/J97</f>
        <v>5569.53912342461</v>
      </c>
      <c r="M97" s="25" t="n">
        <f aca="false">MAX(1,ROUND(B97/L97,0))</f>
        <v>2166</v>
      </c>
      <c r="N97" s="25" t="n">
        <f aca="false">MAX(1,ROUND(M97*ตั้งค่า!$C$26*(1-ตั้งค่า!$C$27),0))</f>
        <v>866</v>
      </c>
      <c r="O97" s="25" t="n">
        <f aca="false">MAX(1,ROUND(M97*ตั้งค่า!$C$26*(1+ตั้งค่า!$C$27),0))</f>
        <v>1300</v>
      </c>
      <c r="P97" s="25" t="n">
        <f aca="false">ROUNDUP(B97/M97,0)</f>
        <v>5571</v>
      </c>
      <c r="Q97" s="27" t="n">
        <f aca="false">P97*J97/60</f>
        <v>631.38</v>
      </c>
      <c r="R97" s="26" t="n">
        <f aca="false">R96+Q96/60</f>
        <v>321.587111111111</v>
      </c>
    </row>
    <row r="98" customFormat="false" ht="15" hidden="false" customHeight="false" outlineLevel="0" collapsed="false">
      <c r="A98" s="3" t="n">
        <v>94</v>
      </c>
      <c r="B98" s="25" t="n">
        <f aca="false">ROUND(ตั้งค่า!$C$24*A98^ตั้งค่า!$C$25,0)</f>
        <v>12458760</v>
      </c>
      <c r="C98" s="25" t="n">
        <f aca="false">C97+B97</f>
        <v>286584615</v>
      </c>
      <c r="D98" s="26" t="n">
        <f aca="false">ROUND((ตั้งค่า!$C$12+ตั้งค่า!$C$13*A98)*(1+ตั้งค่า!$C$14)^(A98-1),1)</f>
        <v>1248.8</v>
      </c>
      <c r="E98" s="25" t="n">
        <f aca="false">ROUND((ตั้งค่า!$C$15+ตั้งค่า!$C$16*A98)*(1+ตั้งค่า!$C$17)^(A98-1),0)</f>
        <v>4113</v>
      </c>
      <c r="F98" s="25" t="n">
        <f aca="false">ROUND(D98*ตั้งค่า!$C$22,0)</f>
        <v>62</v>
      </c>
      <c r="G98" s="26" t="n">
        <f aca="false">MAX(1,D98-F98)</f>
        <v>1186.8</v>
      </c>
      <c r="H98" s="25" t="n">
        <f aca="false">ROUND(ตั้งค่า!$C$20*G98,0)</f>
        <v>4747</v>
      </c>
      <c r="I98" s="25" t="n">
        <f aca="false">MAX(1,ROUND(E98/ตั้งค่า!$C$23,0))</f>
        <v>343</v>
      </c>
      <c r="J98" s="27" t="n">
        <f aca="false">ตั้งค่า!$C$20*ตั้งค่า!$C$18+ตั้งค่า!$C$21</f>
        <v>6.8</v>
      </c>
      <c r="K98" s="27" t="n">
        <f aca="false">ตั้งค่า!$C$10*A98^ตั้งค่า!$C$8+ตั้งค่า!$C$9</f>
        <v>644.848946550937</v>
      </c>
      <c r="L98" s="25" t="n">
        <f aca="false">K98*60/J98</f>
        <v>5689.84364603767</v>
      </c>
      <c r="M98" s="25" t="n">
        <f aca="false">MAX(1,ROUND(B98/L98,0))</f>
        <v>2190</v>
      </c>
      <c r="N98" s="25" t="n">
        <f aca="false">MAX(1,ROUND(M98*ตั้งค่า!$C$26*(1-ตั้งค่า!$C$27),0))</f>
        <v>876</v>
      </c>
      <c r="O98" s="25" t="n">
        <f aca="false">MAX(1,ROUND(M98*ตั้งค่า!$C$26*(1+ตั้งค่า!$C$27),0))</f>
        <v>1314</v>
      </c>
      <c r="P98" s="25" t="n">
        <f aca="false">ROUNDUP(B98/M98,0)</f>
        <v>5689</v>
      </c>
      <c r="Q98" s="27" t="n">
        <f aca="false">P98*J98/60</f>
        <v>644.753333333333</v>
      </c>
      <c r="R98" s="26" t="n">
        <f aca="false">R97+Q97/60</f>
        <v>332.110111111111</v>
      </c>
    </row>
    <row r="99" customFormat="false" ht="15" hidden="false" customHeight="false" outlineLevel="0" collapsed="false">
      <c r="A99" s="3" t="n">
        <v>95</v>
      </c>
      <c r="B99" s="25" t="n">
        <f aca="false">ROUND(ตั้งค่า!$C$24*A99^ตั้งค่า!$C$25,0)</f>
        <v>12860625</v>
      </c>
      <c r="C99" s="25" t="n">
        <f aca="false">C98+B98</f>
        <v>299043375</v>
      </c>
      <c r="D99" s="26" t="n">
        <f aca="false">ROUND((ตั้งค่า!$C$12+ตั้งค่า!$C$13*A99)*(1+ตั้งค่า!$C$14)^(A99-1),1)</f>
        <v>1286.6</v>
      </c>
      <c r="E99" s="25" t="n">
        <f aca="false">ROUND((ตั้งค่า!$C$15+ตั้งค่า!$C$16*A99)*(1+ตั้งค่า!$C$17)^(A99-1),0)</f>
        <v>4215</v>
      </c>
      <c r="F99" s="25" t="n">
        <f aca="false">ROUND(D99*ตั้งค่า!$C$22,0)</f>
        <v>64</v>
      </c>
      <c r="G99" s="26" t="n">
        <f aca="false">MAX(1,D99-F99)</f>
        <v>1222.6</v>
      </c>
      <c r="H99" s="25" t="n">
        <f aca="false">ROUND(ตั้งค่า!$C$20*G99,0)</f>
        <v>4890</v>
      </c>
      <c r="I99" s="25" t="n">
        <f aca="false">MAX(1,ROUND(E99/ตั้งค่า!$C$23,0))</f>
        <v>351</v>
      </c>
      <c r="J99" s="27" t="n">
        <f aca="false">ตั้งค่า!$C$20*ตั้งค่า!$C$18+ตั้งค่า!$C$21</f>
        <v>6.8</v>
      </c>
      <c r="K99" s="27" t="n">
        <f aca="false">ตั้งค่า!$C$10*A99^ตั้งค่า!$C$8+ตั้งค่า!$C$9</f>
        <v>658.629282777524</v>
      </c>
      <c r="L99" s="25" t="n">
        <f aca="false">K99*60/J99</f>
        <v>5811.43484803698</v>
      </c>
      <c r="M99" s="25" t="n">
        <f aca="false">MAX(1,ROUND(B99/L99,0))</f>
        <v>2213</v>
      </c>
      <c r="N99" s="25" t="n">
        <f aca="false">MAX(1,ROUND(M99*ตั้งค่า!$C$26*(1-ตั้งค่า!$C$27),0))</f>
        <v>885</v>
      </c>
      <c r="O99" s="25" t="n">
        <f aca="false">MAX(1,ROUND(M99*ตั้งค่า!$C$26*(1+ตั้งค่า!$C$27),0))</f>
        <v>1328</v>
      </c>
      <c r="P99" s="25" t="n">
        <f aca="false">ROUNDUP(B99/M99,0)</f>
        <v>5812</v>
      </c>
      <c r="Q99" s="27" t="n">
        <f aca="false">P99*J99/60</f>
        <v>658.693333333333</v>
      </c>
      <c r="R99" s="26" t="n">
        <f aca="false">R98+Q98/60</f>
        <v>342.856</v>
      </c>
    </row>
    <row r="100" customFormat="false" ht="15" hidden="false" customHeight="false" outlineLevel="0" collapsed="false">
      <c r="A100" s="3" t="n">
        <v>96</v>
      </c>
      <c r="B100" s="25" t="n">
        <f aca="false">ROUND(ตั้งค่า!$C$24*A100^ตั้งค่า!$C$25,0)</f>
        <v>13271040</v>
      </c>
      <c r="C100" s="25" t="n">
        <f aca="false">C99+B99</f>
        <v>311904000</v>
      </c>
      <c r="D100" s="26" t="n">
        <f aca="false">ROUND((ตั้งค่า!$C$12+ตั้งค่า!$C$13*A100)*(1+ตั้งค่า!$C$14)^(A100-1),1)</f>
        <v>1325.5</v>
      </c>
      <c r="E100" s="25" t="n">
        <f aca="false">ROUND((ตั้งค่า!$C$15+ตั้งค่า!$C$16*A100)*(1+ตั้งค่า!$C$17)^(A100-1),0)</f>
        <v>4320</v>
      </c>
      <c r="F100" s="25" t="n">
        <f aca="false">ROUND(D100*ตั้งค่า!$C$22,0)</f>
        <v>66</v>
      </c>
      <c r="G100" s="26" t="n">
        <f aca="false">MAX(1,D100-F100)</f>
        <v>1259.5</v>
      </c>
      <c r="H100" s="25" t="n">
        <f aca="false">ROUND(ตั้งค่า!$C$20*G100,0)</f>
        <v>5038</v>
      </c>
      <c r="I100" s="25" t="n">
        <f aca="false">MAX(1,ROUND(E100/ตั้งค่า!$C$23,0))</f>
        <v>360</v>
      </c>
      <c r="J100" s="27" t="n">
        <f aca="false">ตั้งค่า!$C$20*ตั้งค่า!$C$18+ตั้งค่า!$C$21</f>
        <v>6.8</v>
      </c>
      <c r="K100" s="27" t="n">
        <f aca="false">ตั้งค่า!$C$10*A100^ตั้งค่า!$C$8+ตั้งค่า!$C$9</f>
        <v>672.555442667885</v>
      </c>
      <c r="L100" s="25" t="n">
        <f aca="false">K100*60/J100</f>
        <v>5934.31272942251</v>
      </c>
      <c r="M100" s="25" t="n">
        <f aca="false">MAX(1,ROUND(B100/L100,0))</f>
        <v>2236</v>
      </c>
      <c r="N100" s="25" t="n">
        <f aca="false">MAX(1,ROUND(M100*ตั้งค่า!$C$26*(1-ตั้งค่า!$C$27),0))</f>
        <v>894</v>
      </c>
      <c r="O100" s="25" t="n">
        <f aca="false">MAX(1,ROUND(M100*ตั้งค่า!$C$26*(1+ตั้งค่า!$C$27),0))</f>
        <v>1342</v>
      </c>
      <c r="P100" s="25" t="n">
        <f aca="false">ROUNDUP(B100/M100,0)</f>
        <v>5936</v>
      </c>
      <c r="Q100" s="27" t="n">
        <f aca="false">P100*J100/60</f>
        <v>672.746666666667</v>
      </c>
      <c r="R100" s="26" t="n">
        <f aca="false">R99+Q99/60</f>
        <v>353.834222222222</v>
      </c>
    </row>
    <row r="101" customFormat="false" ht="15" hidden="false" customHeight="false" outlineLevel="0" collapsed="false">
      <c r="A101" s="3" t="n">
        <v>97</v>
      </c>
      <c r="B101" s="25" t="n">
        <f aca="false">ROUND(ตั้งค่า!$C$24*A101^ตั้งค่า!$C$25,0)</f>
        <v>13690095</v>
      </c>
      <c r="C101" s="25" t="n">
        <f aca="false">C100+B100</f>
        <v>325175040</v>
      </c>
      <c r="D101" s="26" t="n">
        <f aca="false">ROUND((ตั้งค่า!$C$12+ตั้งค่า!$C$13*A101)*(1+ตั้งค่า!$C$14)^(A101-1),1)</f>
        <v>1365.4</v>
      </c>
      <c r="E101" s="25" t="n">
        <f aca="false">ROUND((ตั้งค่า!$C$15+ตั้งค่า!$C$16*A101)*(1+ตั้งค่า!$C$17)^(A101-1),0)</f>
        <v>4426</v>
      </c>
      <c r="F101" s="25" t="n">
        <f aca="false">ROUND(D101*ตั้งค่า!$C$22,0)</f>
        <v>68</v>
      </c>
      <c r="G101" s="26" t="n">
        <f aca="false">MAX(1,D101-F101)</f>
        <v>1297.4</v>
      </c>
      <c r="H101" s="25" t="n">
        <f aca="false">ROUND(ตั้งค่า!$C$20*G101,0)</f>
        <v>5190</v>
      </c>
      <c r="I101" s="25" t="n">
        <f aca="false">MAX(1,ROUND(E101/ตั้งค่า!$C$23,0))</f>
        <v>369</v>
      </c>
      <c r="J101" s="27" t="n">
        <f aca="false">ตั้งค่า!$C$20*ตั้งค่า!$C$18+ตั้งค่า!$C$21</f>
        <v>6.8</v>
      </c>
      <c r="K101" s="27" t="n">
        <f aca="false">ตั้งค่า!$C$10*A101^ตั้งค่า!$C$8+ตั้งค่า!$C$9</f>
        <v>686.627426222019</v>
      </c>
      <c r="L101" s="25" t="n">
        <f aca="false">K101*60/J101</f>
        <v>6058.47729019429</v>
      </c>
      <c r="M101" s="25" t="n">
        <f aca="false">MAX(1,ROUND(B101/L101,0))</f>
        <v>2260</v>
      </c>
      <c r="N101" s="25" t="n">
        <f aca="false">MAX(1,ROUND(M101*ตั้งค่า!$C$26*(1-ตั้งค่า!$C$27),0))</f>
        <v>904</v>
      </c>
      <c r="O101" s="25" t="n">
        <f aca="false">MAX(1,ROUND(M101*ตั้งค่า!$C$26*(1+ตั้งค่า!$C$27),0))</f>
        <v>1356</v>
      </c>
      <c r="P101" s="25" t="n">
        <f aca="false">ROUNDUP(B101/M101,0)</f>
        <v>6058</v>
      </c>
      <c r="Q101" s="27" t="n">
        <f aca="false">P101*J101/60</f>
        <v>686.573333333333</v>
      </c>
      <c r="R101" s="26" t="n">
        <f aca="false">R100+Q100/60</f>
        <v>365.046666666667</v>
      </c>
    </row>
    <row r="102" customFormat="false" ht="15" hidden="false" customHeight="false" outlineLevel="0" collapsed="false">
      <c r="A102" s="3" t="n">
        <v>98</v>
      </c>
      <c r="B102" s="25" t="n">
        <f aca="false">ROUND(ตั้งค่า!$C$24*A102^ตั้งค่า!$C$25,0)</f>
        <v>14117880</v>
      </c>
      <c r="C102" s="25" t="n">
        <f aca="false">C101+B101</f>
        <v>338865135</v>
      </c>
      <c r="D102" s="26" t="n">
        <f aca="false">ROUND((ตั้งค่า!$C$12+ตั้งค่า!$C$13*A102)*(1+ตั้งค่า!$C$14)^(A102-1),1)</f>
        <v>1406.3</v>
      </c>
      <c r="E102" s="25" t="n">
        <f aca="false">ROUND((ตั้งค่า!$C$15+ตั้งค่า!$C$16*A102)*(1+ตั้งค่า!$C$17)^(A102-1),0)</f>
        <v>4535</v>
      </c>
      <c r="F102" s="25" t="n">
        <f aca="false">ROUND(D102*ตั้งค่า!$C$22,0)</f>
        <v>70</v>
      </c>
      <c r="G102" s="26" t="n">
        <f aca="false">MAX(1,D102-F102)</f>
        <v>1336.3</v>
      </c>
      <c r="H102" s="25" t="n">
        <f aca="false">ROUND(ตั้งค่า!$C$20*G102,0)</f>
        <v>5345</v>
      </c>
      <c r="I102" s="25" t="n">
        <f aca="false">MAX(1,ROUND(E102/ตั้งค่า!$C$23,0))</f>
        <v>378</v>
      </c>
      <c r="J102" s="27" t="n">
        <f aca="false">ตั้งค่า!$C$20*ตั้งค่า!$C$18+ตั้งค่า!$C$21</f>
        <v>6.8</v>
      </c>
      <c r="K102" s="27" t="n">
        <f aca="false">ตั้งค่า!$C$10*A102^ตั้งค่า!$C$8+ตั้งค่า!$C$9</f>
        <v>700.845233439927</v>
      </c>
      <c r="L102" s="25" t="n">
        <f aca="false">K102*60/J102</f>
        <v>6183.9285303523</v>
      </c>
      <c r="M102" s="25" t="n">
        <f aca="false">MAX(1,ROUND(B102/L102,0))</f>
        <v>2283</v>
      </c>
      <c r="N102" s="25" t="n">
        <f aca="false">MAX(1,ROUND(M102*ตั้งค่า!$C$26*(1-ตั้งค่า!$C$27),0))</f>
        <v>913</v>
      </c>
      <c r="O102" s="25" t="n">
        <f aca="false">MAX(1,ROUND(M102*ตั้งค่า!$C$26*(1+ตั้งค่า!$C$27),0))</f>
        <v>1370</v>
      </c>
      <c r="P102" s="25" t="n">
        <f aca="false">ROUNDUP(B102/M102,0)</f>
        <v>6184</v>
      </c>
      <c r="Q102" s="27" t="n">
        <f aca="false">P102*J102/60</f>
        <v>700.853333333333</v>
      </c>
      <c r="R102" s="26" t="n">
        <f aca="false">R101+Q101/60</f>
        <v>376.489555555556</v>
      </c>
    </row>
    <row r="103" customFormat="false" ht="15" hidden="false" customHeight="false" outlineLevel="0" collapsed="false">
      <c r="A103" s="3" t="n">
        <v>99</v>
      </c>
      <c r="B103" s="25" t="n">
        <f aca="false">ROUND(ตั้งค่า!$C$24*A103^ตั้งค่า!$C$25,0)</f>
        <v>14554485</v>
      </c>
      <c r="C103" s="25" t="n">
        <f aca="false">C102+B102</f>
        <v>352983015</v>
      </c>
      <c r="D103" s="26" t="n">
        <f aca="false">ROUND((ตั้งค่า!$C$12+ตั้งค่า!$C$13*A103)*(1+ตั้งค่า!$C$14)^(A103-1),1)</f>
        <v>1448.4</v>
      </c>
      <c r="E103" s="25" t="n">
        <f aca="false">ROUND((ตั้งค่า!$C$15+ตั้งค่า!$C$16*A103)*(1+ตั้งค่า!$C$17)^(A103-1),0)</f>
        <v>4646</v>
      </c>
      <c r="F103" s="25" t="n">
        <f aca="false">ROUND(D103*ตั้งค่า!$C$22,0)</f>
        <v>72</v>
      </c>
      <c r="G103" s="26" t="n">
        <f aca="false">MAX(1,D103-F103)</f>
        <v>1376.4</v>
      </c>
      <c r="H103" s="25" t="n">
        <f aca="false">ROUND(ตั้งค่า!$C$20*G103,0)</f>
        <v>5506</v>
      </c>
      <c r="I103" s="25" t="n">
        <f aca="false">MAX(1,ROUND(E103/ตั้งค่า!$C$23,0))</f>
        <v>387</v>
      </c>
      <c r="J103" s="27" t="n">
        <f aca="false">ตั้งค่า!$C$20*ตั้งค่า!$C$18+ตั้งค่า!$C$21</f>
        <v>6.8</v>
      </c>
      <c r="K103" s="27" t="n">
        <f aca="false">ตั้งค่า!$C$10*A103^ตั้งค่า!$C$8+ตั้งค่า!$C$9</f>
        <v>715.208864321608</v>
      </c>
      <c r="L103" s="25" t="n">
        <f aca="false">K103*60/J103</f>
        <v>6310.66644989654</v>
      </c>
      <c r="M103" s="25" t="n">
        <f aca="false">MAX(1,ROUND(B103/L103,0))</f>
        <v>2306</v>
      </c>
      <c r="N103" s="25" t="n">
        <f aca="false">MAX(1,ROUND(M103*ตั้งค่า!$C$26*(1-ตั้งค่า!$C$27),0))</f>
        <v>922</v>
      </c>
      <c r="O103" s="25" t="n">
        <f aca="false">MAX(1,ROUND(M103*ตั้งค่า!$C$26*(1+ตั้งค่า!$C$27),0))</f>
        <v>1384</v>
      </c>
      <c r="P103" s="25" t="n">
        <f aca="false">ROUNDUP(B103/M103,0)</f>
        <v>6312</v>
      </c>
      <c r="Q103" s="27" t="n">
        <f aca="false">P103*J103/60</f>
        <v>715.36</v>
      </c>
      <c r="R103" s="26" t="n">
        <f aca="false">R102+Q102/60</f>
        <v>388.170444444444</v>
      </c>
    </row>
    <row r="104" customFormat="false" ht="15" hidden="false" customHeight="false" outlineLevel="0" collapsed="false">
      <c r="A104" s="3" t="n">
        <v>100</v>
      </c>
      <c r="B104" s="25" t="n">
        <f aca="false">ROUND(ตั้งค่า!$C$24*A104^ตั้งค่า!$C$25,0)</f>
        <v>15000000</v>
      </c>
      <c r="C104" s="25" t="n">
        <f aca="false">C103+B103</f>
        <v>367537500</v>
      </c>
      <c r="D104" s="26" t="n">
        <f aca="false">ROUND((ตั้งค่า!$C$12+ตั้งค่า!$C$13*A104)*(1+ตั้งค่า!$C$14)^(A104-1),1)</f>
        <v>1491.5</v>
      </c>
      <c r="E104" s="25" t="n">
        <f aca="false">ROUND((ตั้งค่า!$C$15+ตั้งค่า!$C$16*A104)*(1+ตั้งค่า!$C$17)^(A104-1),0)</f>
        <v>4760</v>
      </c>
      <c r="F104" s="25" t="n">
        <f aca="false">ROUND(D104*ตั้งค่า!$C$22,0)</f>
        <v>75</v>
      </c>
      <c r="G104" s="26" t="n">
        <f aca="false">MAX(1,D104-F104)</f>
        <v>1416.5</v>
      </c>
      <c r="H104" s="25" t="n">
        <f aca="false">ROUND(ตั้งค่า!$C$20*G104,0)</f>
        <v>5666</v>
      </c>
      <c r="I104" s="25" t="n">
        <f aca="false">MAX(1,ROUND(E104/ตั้งค่า!$C$23,0))</f>
        <v>397</v>
      </c>
      <c r="J104" s="27" t="n">
        <f aca="false">ตั้งค่า!$C$20*ตั้งค่า!$C$18+ตั้งค่า!$C$21</f>
        <v>6.8</v>
      </c>
      <c r="K104" s="27" t="n">
        <f aca="false">ตั้งค่า!$C$10*A104^ตั้งค่า!$C$8+ตั้งค่า!$C$9</f>
        <v>729.718318867063</v>
      </c>
      <c r="L104" s="25" t="n">
        <f aca="false">K104*60/J104</f>
        <v>6438.69104882702</v>
      </c>
      <c r="M104" s="25" t="n">
        <f aca="false">MAX(1,ROUND(B104/L104,0))</f>
        <v>2330</v>
      </c>
      <c r="N104" s="25" t="n">
        <f aca="false">MAX(1,ROUND(M104*ตั้งค่า!$C$26*(1-ตั้งค่า!$C$27),0))</f>
        <v>932</v>
      </c>
      <c r="O104" s="25" t="n">
        <f aca="false">MAX(1,ROUND(M104*ตั้งค่า!$C$26*(1+ตั้งค่า!$C$27),0))</f>
        <v>1398</v>
      </c>
      <c r="P104" s="25" t="n">
        <f aca="false">ROUNDUP(B104/M104,0)</f>
        <v>6438</v>
      </c>
      <c r="Q104" s="27" t="n">
        <f aca="false">P104*J104/60</f>
        <v>729.64</v>
      </c>
      <c r="R104" s="26" t="n">
        <f aca="false">R103+Q103/60</f>
        <v>400.093111111111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10" min="9" style="0" width="8"/>
    <col collapsed="false" customWidth="true" hidden="false" outlineLevel="0" max="13" min="11" style="0" width="10"/>
    <col collapsed="false" customWidth="true" hidden="false" outlineLevel="0" max="14" min="14" style="0" width="9"/>
    <col collapsed="false" customWidth="true" hidden="false" outlineLevel="0" max="15" min="15" style="0" width="36"/>
  </cols>
  <sheetData>
    <row r="1" customFormat="false" ht="17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4" t="s">
        <v>107</v>
      </c>
    </row>
    <row r="4" customFormat="false" ht="26.85" hidden="false" customHeight="false" outlineLevel="0" collapsed="false">
      <c r="A4" s="24" t="s">
        <v>108</v>
      </c>
      <c r="B4" s="24" t="s">
        <v>109</v>
      </c>
      <c r="C4" s="24" t="s">
        <v>24</v>
      </c>
      <c r="D4" s="24" t="s">
        <v>110</v>
      </c>
      <c r="E4" s="24" t="s">
        <v>111</v>
      </c>
      <c r="F4" s="24" t="s">
        <v>69</v>
      </c>
      <c r="G4" s="24" t="s">
        <v>72</v>
      </c>
      <c r="H4" s="24" t="s">
        <v>112</v>
      </c>
      <c r="I4" s="24" t="s">
        <v>113</v>
      </c>
      <c r="J4" s="24" t="s">
        <v>114</v>
      </c>
      <c r="K4" s="24" t="s">
        <v>115</v>
      </c>
      <c r="L4" s="24" t="s">
        <v>101</v>
      </c>
      <c r="M4" s="24" t="s">
        <v>102</v>
      </c>
      <c r="N4" s="24" t="s">
        <v>50</v>
      </c>
      <c r="O4" s="24" t="s">
        <v>116</v>
      </c>
    </row>
    <row r="5" customFormat="false" ht="15" hidden="false" customHeight="false" outlineLevel="0" collapsed="false">
      <c r="A5" s="3" t="s">
        <v>117</v>
      </c>
      <c r="B5" s="28" t="s">
        <v>118</v>
      </c>
      <c r="C5" s="28" t="n">
        <v>1</v>
      </c>
      <c r="D5" s="28" t="s">
        <v>119</v>
      </c>
      <c r="E5" s="28" t="s">
        <v>120</v>
      </c>
      <c r="F5" s="29" t="n">
        <v>1</v>
      </c>
      <c r="G5" s="29" t="n">
        <v>1</v>
      </c>
      <c r="H5" s="25" t="n">
        <f aca="false">ROUND(INDEX(เลเวล!$H$5:$H$104,C5)*F5*IF(D5="บอส",ตั้งค่า!$C$29,1),0)</f>
        <v>44</v>
      </c>
      <c r="I5" s="25" t="n">
        <f aca="false">ROUND(INDEX(เลเวล!$F$5:$F$104,C5)*IF(D5="บอส",ตั้งค่า!$C$32,1),0)</f>
        <v>1</v>
      </c>
      <c r="J5" s="25" t="n">
        <f aca="false">ROUND(INDEX(เลเวล!$I$5:$I$104,C5)*IF(D5="บอส",ตั้งค่า!$C$31,1),0)</f>
        <v>8</v>
      </c>
      <c r="K5" s="25" t="n">
        <f aca="false">ROUND(INDEX(เลเวล!$M$5:$M$104,C5)*G5*IF(D5="บอส",ตั้งค่า!$C$30,1),0)</f>
        <v>3</v>
      </c>
      <c r="L5" s="25" t="n">
        <f aca="false">ROUND(INDEX(เลเวล!$N$5:$N$104,C5)*IF(D5="บอส",ตั้งค่า!$C$33,1),0)</f>
        <v>1</v>
      </c>
      <c r="M5" s="25" t="n">
        <f aca="false">ROUND(INDEX(เลเวล!$O$5:$O$104,C5)*IF(D5="บอส",ตั้งค่า!$C$33,1),0)</f>
        <v>2</v>
      </c>
      <c r="N5" s="25" t="n">
        <f aca="false">ROUNDUP(H5/INDEX(เลเวล!$G$5:$G$104,C5),0)</f>
        <v>4</v>
      </c>
      <c r="O5" s="3" t="s">
        <v>121</v>
      </c>
    </row>
    <row r="6" customFormat="false" ht="15" hidden="false" customHeight="false" outlineLevel="0" collapsed="false">
      <c r="A6" s="3" t="s">
        <v>122</v>
      </c>
      <c r="B6" s="28" t="s">
        <v>118</v>
      </c>
      <c r="C6" s="28" t="n">
        <v>2</v>
      </c>
      <c r="D6" s="28" t="s">
        <v>119</v>
      </c>
      <c r="E6" s="28" t="s">
        <v>120</v>
      </c>
      <c r="F6" s="29" t="n">
        <v>0.7</v>
      </c>
      <c r="G6" s="29" t="n">
        <v>0.8</v>
      </c>
      <c r="H6" s="25" t="n">
        <f aca="false">ROUND(INDEX(เลเวล!$H$5:$H$104,C6)*F6*IF(D6="บอส",ตั้งค่า!$C$29,1),0)</f>
        <v>37</v>
      </c>
      <c r="I6" s="25" t="n">
        <f aca="false">ROUND(INDEX(เลเวล!$F$5:$F$104,C6)*IF(D6="บอส",ตั้งค่า!$C$32,1),0)</f>
        <v>1</v>
      </c>
      <c r="J6" s="25" t="n">
        <f aca="false">ROUND(INDEX(เลเวล!$I$5:$I$104,C6)*IF(D6="บอส",ตั้งค่า!$C$31,1),0)</f>
        <v>9</v>
      </c>
      <c r="K6" s="25" t="n">
        <f aca="false">ROUND(INDEX(เลเวล!$M$5:$M$104,C6)*G6*IF(D6="บอส",ตั้งค่า!$C$30,1),0)</f>
        <v>12</v>
      </c>
      <c r="L6" s="25" t="n">
        <f aca="false">ROUND(INDEX(เลเวล!$N$5:$N$104,C6)*IF(D6="บอส",ตั้งค่า!$C$33,1),0)</f>
        <v>6</v>
      </c>
      <c r="M6" s="25" t="n">
        <f aca="false">ROUND(INDEX(เลเวล!$O$5:$O$104,C6)*IF(D6="บอส",ตั้งค่า!$C$33,1),0)</f>
        <v>9</v>
      </c>
      <c r="N6" s="25" t="n">
        <f aca="false">ROUNDUP(H6/INDEX(เลเวล!$G$5:$G$104,C6),0)</f>
        <v>3</v>
      </c>
      <c r="O6" s="3" t="s">
        <v>123</v>
      </c>
    </row>
    <row r="7" customFormat="false" ht="15" hidden="false" customHeight="false" outlineLevel="0" collapsed="false">
      <c r="A7" s="3" t="s">
        <v>124</v>
      </c>
      <c r="B7" s="28" t="s">
        <v>118</v>
      </c>
      <c r="C7" s="28" t="n">
        <v>3</v>
      </c>
      <c r="D7" s="28" t="s">
        <v>119</v>
      </c>
      <c r="E7" s="28" t="s">
        <v>120</v>
      </c>
      <c r="F7" s="29" t="n">
        <v>1.3</v>
      </c>
      <c r="G7" s="29" t="n">
        <v>1.15</v>
      </c>
      <c r="H7" s="25" t="n">
        <f aca="false">ROUND(INDEX(เลเวล!$H$5:$H$104,C7)*F7*IF(D7="บอส",ตั้งค่า!$C$29,1),0)</f>
        <v>81</v>
      </c>
      <c r="I7" s="25" t="n">
        <f aca="false">ROUND(INDEX(เลเวล!$F$5:$F$104,C7)*IF(D7="บอส",ตั้งค่า!$C$32,1),0)</f>
        <v>1</v>
      </c>
      <c r="J7" s="25" t="n">
        <f aca="false">ROUND(INDEX(เลเวล!$I$5:$I$104,C7)*IF(D7="บอส",ตั้งค่า!$C$31,1),0)</f>
        <v>10</v>
      </c>
      <c r="K7" s="25" t="n">
        <f aca="false">ROUND(INDEX(เลเวล!$M$5:$M$104,C7)*G7*IF(D7="บอส",ตั้งค่า!$C$30,1),0)</f>
        <v>43</v>
      </c>
      <c r="L7" s="25" t="n">
        <f aca="false">ROUND(INDEX(เลเวล!$N$5:$N$104,C7)*IF(D7="บอส",ตั้งค่า!$C$33,1),0)</f>
        <v>15</v>
      </c>
      <c r="M7" s="25" t="n">
        <f aca="false">ROUND(INDEX(เลเวล!$O$5:$O$104,C7)*IF(D7="บอส",ตั้งค่า!$C$33,1),0)</f>
        <v>22</v>
      </c>
      <c r="N7" s="25" t="n">
        <f aca="false">ROUNDUP(H7/INDEX(เลเวล!$G$5:$G$104,C7),0)</f>
        <v>6</v>
      </c>
      <c r="O7" s="3" t="s">
        <v>125</v>
      </c>
    </row>
    <row r="8" customFormat="false" ht="15" hidden="false" customHeight="false" outlineLevel="0" collapsed="false">
      <c r="A8" s="3" t="s">
        <v>126</v>
      </c>
      <c r="B8" s="28" t="s">
        <v>118</v>
      </c>
      <c r="C8" s="28" t="n">
        <v>4</v>
      </c>
      <c r="D8" s="28" t="s">
        <v>119</v>
      </c>
      <c r="E8" s="28" t="s">
        <v>120</v>
      </c>
      <c r="F8" s="29" t="n">
        <v>1.4</v>
      </c>
      <c r="G8" s="29" t="n">
        <v>1.2</v>
      </c>
      <c r="H8" s="25" t="n">
        <f aca="false">ROUND(INDEX(เลเวล!$H$5:$H$104,C8)*F8*IF(D8="บอส",ตั้งค่า!$C$29,1),0)</f>
        <v>101</v>
      </c>
      <c r="I8" s="25" t="n">
        <f aca="false">ROUND(INDEX(เลเวล!$F$5:$F$104,C8)*IF(D8="บอส",ตั้งค่า!$C$32,1),0)</f>
        <v>1</v>
      </c>
      <c r="J8" s="25" t="n">
        <f aca="false">ROUND(INDEX(เลเวล!$I$5:$I$104,C8)*IF(D8="บอส",ตั้งค่า!$C$31,1),0)</f>
        <v>11</v>
      </c>
      <c r="K8" s="25" t="n">
        <f aca="false">ROUND(INDEX(เลเวล!$M$5:$M$104,C8)*G8*IF(D8="บอส",ตั้งค่า!$C$30,1),0)</f>
        <v>74</v>
      </c>
      <c r="L8" s="25" t="n">
        <f aca="false">ROUND(INDEX(เลเวล!$N$5:$N$104,C8)*IF(D8="บอส",ตั้งค่า!$C$33,1),0)</f>
        <v>25</v>
      </c>
      <c r="M8" s="25" t="n">
        <f aca="false">ROUND(INDEX(เลเวล!$O$5:$O$104,C8)*IF(D8="บอส",ตั้งค่า!$C$33,1),0)</f>
        <v>37</v>
      </c>
      <c r="N8" s="25" t="n">
        <f aca="false">ROUNDUP(H8/INDEX(เลเวล!$G$5:$G$104,C8),0)</f>
        <v>6</v>
      </c>
      <c r="O8" s="3" t="s">
        <v>127</v>
      </c>
    </row>
    <row r="9" customFormat="false" ht="15" hidden="false" customHeight="false" outlineLevel="0" collapsed="false">
      <c r="A9" s="3" t="s">
        <v>128</v>
      </c>
      <c r="B9" s="28" t="s">
        <v>118</v>
      </c>
      <c r="C9" s="28" t="n">
        <v>5</v>
      </c>
      <c r="D9" s="28" t="s">
        <v>119</v>
      </c>
      <c r="E9" s="28" t="s">
        <v>120</v>
      </c>
      <c r="F9" s="29" t="n">
        <v>1</v>
      </c>
      <c r="G9" s="29" t="n">
        <v>1</v>
      </c>
      <c r="H9" s="25" t="n">
        <f aca="false">ROUND(INDEX(เลเวล!$H$5:$H$104,C9)*F9*IF(D9="บอส",ตั้งค่า!$C$29,1),0)</f>
        <v>82</v>
      </c>
      <c r="I9" s="25" t="n">
        <f aca="false">ROUND(INDEX(เลเวล!$F$5:$F$104,C9)*IF(D9="บอส",ตั้งค่า!$C$32,1),0)</f>
        <v>1</v>
      </c>
      <c r="J9" s="25" t="n">
        <f aca="false">ROUND(INDEX(เลเวล!$I$5:$I$104,C9)*IF(D9="บอส",ตั้งค่า!$C$31,1),0)</f>
        <v>12</v>
      </c>
      <c r="K9" s="25" t="n">
        <f aca="false">ROUND(INDEX(เลเวล!$M$5:$M$104,C9)*G9*IF(D9="บอส",ตั้งค่า!$C$30,1),0)</f>
        <v>88</v>
      </c>
      <c r="L9" s="25" t="n">
        <f aca="false">ROUND(INDEX(เลเวล!$N$5:$N$104,C9)*IF(D9="บอส",ตั้งค่า!$C$33,1),0)</f>
        <v>35</v>
      </c>
      <c r="M9" s="25" t="n">
        <f aca="false">ROUND(INDEX(เลเวล!$O$5:$O$104,C9)*IF(D9="บอส",ตั้งค่า!$C$33,1),0)</f>
        <v>53</v>
      </c>
      <c r="N9" s="25" t="n">
        <f aca="false">ROUNDUP(H9/INDEX(เลเวล!$G$5:$G$104,C9),0)</f>
        <v>4</v>
      </c>
      <c r="O9" s="3" t="s">
        <v>129</v>
      </c>
    </row>
    <row r="10" customFormat="false" ht="15" hidden="false" customHeight="false" outlineLevel="0" collapsed="false">
      <c r="A10" s="3" t="s">
        <v>130</v>
      </c>
      <c r="B10" s="28" t="s">
        <v>118</v>
      </c>
      <c r="C10" s="28" t="n">
        <v>7</v>
      </c>
      <c r="D10" s="28" t="s">
        <v>119</v>
      </c>
      <c r="E10" s="28" t="s">
        <v>131</v>
      </c>
      <c r="F10" s="29" t="n">
        <v>1.2</v>
      </c>
      <c r="G10" s="29" t="n">
        <v>1.15</v>
      </c>
      <c r="H10" s="25" t="n">
        <f aca="false">ROUND(INDEX(เลเวล!$H$5:$H$104,C10)*F10*IF(D10="บอส",ตั้งค่า!$C$29,1),0)</f>
        <v>125</v>
      </c>
      <c r="I10" s="25" t="n">
        <f aca="false">ROUND(INDEX(เลเวล!$F$5:$F$104,C10)*IF(D10="บอส",ตั้งค่า!$C$32,1),0)</f>
        <v>1</v>
      </c>
      <c r="J10" s="25" t="n">
        <f aca="false">ROUND(INDEX(เลเวล!$I$5:$I$104,C10)*IF(D10="บอส",ตั้งค่า!$C$31,1),0)</f>
        <v>15</v>
      </c>
      <c r="K10" s="25" t="n">
        <f aca="false">ROUND(INDEX(เลเวล!$M$5:$M$104,C10)*G10*IF(D10="บอส",ตั้งค่า!$C$30,1),0)</f>
        <v>161</v>
      </c>
      <c r="L10" s="25" t="n">
        <f aca="false">ROUND(INDEX(เลเวล!$N$5:$N$104,C10)*IF(D10="บอส",ตั้งค่า!$C$33,1),0)</f>
        <v>56</v>
      </c>
      <c r="M10" s="25" t="n">
        <f aca="false">ROUND(INDEX(เลเวล!$O$5:$O$104,C10)*IF(D10="บอส",ตั้งค่า!$C$33,1),0)</f>
        <v>84</v>
      </c>
      <c r="N10" s="25" t="n">
        <f aca="false">ROUNDUP(H10/INDEX(เลเวล!$G$5:$G$104,C10),0)</f>
        <v>5</v>
      </c>
      <c r="O10" s="3" t="s">
        <v>132</v>
      </c>
    </row>
    <row r="11" customFormat="false" ht="15" hidden="false" customHeight="false" outlineLevel="0" collapsed="false">
      <c r="A11" s="3" t="s">
        <v>133</v>
      </c>
      <c r="B11" s="28" t="s">
        <v>118</v>
      </c>
      <c r="C11" s="28" t="n">
        <v>8</v>
      </c>
      <c r="D11" s="28" t="s">
        <v>119</v>
      </c>
      <c r="E11" s="28" t="s">
        <v>131</v>
      </c>
      <c r="F11" s="29" t="n">
        <v>1</v>
      </c>
      <c r="G11" s="29" t="n">
        <v>1</v>
      </c>
      <c r="H11" s="25" t="n">
        <f aca="false">ROUND(INDEX(เลเวล!$H$5:$H$104,C11)*F11*IF(D11="บอส",ตั้งค่า!$C$29,1),0)</f>
        <v>116</v>
      </c>
      <c r="I11" s="25" t="n">
        <f aca="false">ROUND(INDEX(เลเวล!$F$5:$F$104,C11)*IF(D11="บอส",ตั้งค่า!$C$32,1),0)</f>
        <v>1</v>
      </c>
      <c r="J11" s="25" t="n">
        <f aca="false">ROUND(INDEX(เลเวล!$I$5:$I$104,C11)*IF(D11="บอส",ตั้งค่า!$C$31,1),0)</f>
        <v>16</v>
      </c>
      <c r="K11" s="25" t="n">
        <f aca="false">ROUND(INDEX(เลเวล!$M$5:$M$104,C11)*G11*IF(D11="บอส",ตั้งค่า!$C$30,1),0)</f>
        <v>165</v>
      </c>
      <c r="L11" s="25" t="n">
        <f aca="false">ROUND(INDEX(เลเวล!$N$5:$N$104,C11)*IF(D11="บอส",ตั้งค่า!$C$33,1),0)</f>
        <v>66</v>
      </c>
      <c r="M11" s="25" t="n">
        <f aca="false">ROUND(INDEX(เลเวล!$O$5:$O$104,C11)*IF(D11="บอส",ตั้งค่า!$C$33,1),0)</f>
        <v>99</v>
      </c>
      <c r="N11" s="25" t="n">
        <f aca="false">ROUNDUP(H11/INDEX(เลเวล!$G$5:$G$104,C11),0)</f>
        <v>5</v>
      </c>
      <c r="O11" s="3" t="s">
        <v>134</v>
      </c>
    </row>
    <row r="12" customFormat="false" ht="15" hidden="false" customHeight="false" outlineLevel="0" collapsed="false">
      <c r="A12" s="30" t="s">
        <v>135</v>
      </c>
      <c r="B12" s="31" t="s">
        <v>118</v>
      </c>
      <c r="C12" s="31" t="n">
        <v>10</v>
      </c>
      <c r="D12" s="31" t="s">
        <v>136</v>
      </c>
      <c r="E12" s="31" t="s">
        <v>131</v>
      </c>
      <c r="F12" s="29" t="n">
        <v>1</v>
      </c>
      <c r="G12" s="29" t="n">
        <v>1</v>
      </c>
      <c r="H12" s="25" t="n">
        <f aca="false">ROUND(INDEX(เลเวล!$H$5:$H$104,C12)*F12*IF(D12="บอส",ตั้งค่า!$C$29,1),0)</f>
        <v>5440</v>
      </c>
      <c r="I12" s="25" t="n">
        <f aca="false">ROUND(INDEX(เลเวล!$F$5:$F$104,C12)*IF(D12="บอส",ตั้งค่า!$C$32,1),0)</f>
        <v>4</v>
      </c>
      <c r="J12" s="25" t="n">
        <f aca="false">ROUND(INDEX(เลเวล!$I$5:$I$104,C12)*IF(D12="บอส",ตั้งค่า!$C$31,1),0)</f>
        <v>45</v>
      </c>
      <c r="K12" s="25" t="n">
        <f aca="false">ROUND(INDEX(เลเวล!$M$5:$M$104,C12)*G12*IF(D12="บอส",ตั้งค่า!$C$30,1),0)</f>
        <v>5375</v>
      </c>
      <c r="L12" s="25" t="n">
        <f aca="false">ROUND(INDEX(เลเวล!$N$5:$N$104,C12)*IF(D12="บอส",ตั้งค่า!$C$33,1),0)</f>
        <v>1720</v>
      </c>
      <c r="M12" s="25" t="n">
        <f aca="false">ROUND(INDEX(เลเวล!$O$5:$O$104,C12)*IF(D12="บอส",ตั้งค่า!$C$33,1),0)</f>
        <v>2580</v>
      </c>
      <c r="N12" s="25" t="n">
        <f aca="false">ROUNDUP(H12/INDEX(เลเวล!$G$5:$G$104,C12),0)</f>
        <v>161</v>
      </c>
      <c r="O12" s="3" t="s">
        <v>137</v>
      </c>
    </row>
    <row r="13" customFormat="false" ht="15" hidden="false" customHeight="false" outlineLevel="0" collapsed="false">
      <c r="A13" s="3" t="s">
        <v>138</v>
      </c>
      <c r="B13" s="28" t="s">
        <v>139</v>
      </c>
      <c r="C13" s="28" t="n">
        <v>11</v>
      </c>
      <c r="D13" s="28" t="s">
        <v>119</v>
      </c>
      <c r="E13" s="28" t="s">
        <v>120</v>
      </c>
      <c r="F13" s="29" t="n">
        <v>0.8</v>
      </c>
      <c r="G13" s="29" t="n">
        <v>0.9</v>
      </c>
      <c r="H13" s="25" t="n">
        <f aca="false">ROUND(INDEX(เลเวล!$H$5:$H$104,C13)*F13*IF(D13="บอส",ตั้งค่า!$C$29,1),0)</f>
        <v>118</v>
      </c>
      <c r="I13" s="25" t="n">
        <f aca="false">ROUND(INDEX(เลเวล!$F$5:$F$104,C13)*IF(D13="บอส",ตั้งค่า!$C$32,1),0)</f>
        <v>2</v>
      </c>
      <c r="J13" s="25" t="n">
        <f aca="false">ROUND(INDEX(เลเวล!$I$5:$I$104,C13)*IF(D13="บอส",ตั้งค่า!$C$31,1),0)</f>
        <v>19</v>
      </c>
      <c r="K13" s="25" t="n">
        <f aca="false">ROUND(INDEX(เลเวล!$M$5:$M$104,C13)*G13*IF(D13="บอส",ตั้งค่า!$C$30,1),0)</f>
        <v>216</v>
      </c>
      <c r="L13" s="25" t="n">
        <f aca="false">ROUND(INDEX(เลเวล!$N$5:$N$104,C13)*IF(D13="บอส",ตั้งค่า!$C$33,1),0)</f>
        <v>96</v>
      </c>
      <c r="M13" s="25" t="n">
        <f aca="false">ROUND(INDEX(เลเวล!$O$5:$O$104,C13)*IF(D13="บอส",ตั้งค่า!$C$33,1),0)</f>
        <v>144</v>
      </c>
      <c r="N13" s="25" t="n">
        <f aca="false">ROUNDUP(H13/INDEX(เลเวล!$G$5:$G$104,C13),0)</f>
        <v>4</v>
      </c>
      <c r="O13" s="3" t="s">
        <v>140</v>
      </c>
    </row>
    <row r="14" customFormat="false" ht="15" hidden="false" customHeight="false" outlineLevel="0" collapsed="false">
      <c r="A14" s="3" t="s">
        <v>141</v>
      </c>
      <c r="B14" s="28" t="s">
        <v>139</v>
      </c>
      <c r="C14" s="28" t="n">
        <v>13</v>
      </c>
      <c r="D14" s="28" t="s">
        <v>119</v>
      </c>
      <c r="E14" s="28" t="s">
        <v>131</v>
      </c>
      <c r="F14" s="29" t="n">
        <v>1</v>
      </c>
      <c r="G14" s="29" t="n">
        <v>1.05</v>
      </c>
      <c r="H14" s="25" t="n">
        <f aca="false">ROUND(INDEX(เลเวล!$H$5:$H$104,C14)*F14*IF(D14="บอส",ตั้งค่า!$C$29,1),0)</f>
        <v>175</v>
      </c>
      <c r="I14" s="25" t="n">
        <f aca="false">ROUND(INDEX(เลเวล!$F$5:$F$104,C14)*IF(D14="บอส",ตั้งค่า!$C$32,1),0)</f>
        <v>2</v>
      </c>
      <c r="J14" s="25" t="n">
        <f aca="false">ROUND(INDEX(เลเวล!$I$5:$I$104,C14)*IF(D14="บอส",ตั้งค่า!$C$31,1),0)</f>
        <v>22</v>
      </c>
      <c r="K14" s="25" t="n">
        <f aca="false">ROUND(INDEX(เลเวล!$M$5:$M$104,C14)*G14*IF(D14="บอส",ตั้งค่า!$C$30,1),0)</f>
        <v>303</v>
      </c>
      <c r="L14" s="25" t="n">
        <f aca="false">ROUND(INDEX(เลเวล!$N$5:$N$104,C14)*IF(D14="บอส",ตั้งค่า!$C$33,1),0)</f>
        <v>116</v>
      </c>
      <c r="M14" s="25" t="n">
        <f aca="false">ROUND(INDEX(เลเวล!$O$5:$O$104,C14)*IF(D14="บอส",ตั้งค่า!$C$33,1),0)</f>
        <v>173</v>
      </c>
      <c r="N14" s="25" t="n">
        <f aca="false">ROUNDUP(H14/INDEX(เลเวล!$G$5:$G$104,C14),0)</f>
        <v>5</v>
      </c>
      <c r="O14" s="3" t="s">
        <v>142</v>
      </c>
    </row>
    <row r="15" customFormat="false" ht="15" hidden="false" customHeight="false" outlineLevel="0" collapsed="false">
      <c r="A15" s="3" t="s">
        <v>143</v>
      </c>
      <c r="B15" s="28" t="s">
        <v>139</v>
      </c>
      <c r="C15" s="28" t="n">
        <v>14</v>
      </c>
      <c r="D15" s="28" t="s">
        <v>119</v>
      </c>
      <c r="E15" s="28" t="s">
        <v>120</v>
      </c>
      <c r="F15" s="29" t="n">
        <v>1.1</v>
      </c>
      <c r="G15" s="29" t="n">
        <v>1.05</v>
      </c>
      <c r="H15" s="25" t="n">
        <f aca="false">ROUND(INDEX(เลเวล!$H$5:$H$104,C15)*F15*IF(D15="บอส",ตั้งค่า!$C$29,1),0)</f>
        <v>208</v>
      </c>
      <c r="I15" s="25" t="n">
        <f aca="false">ROUND(INDEX(เลเวล!$F$5:$F$104,C15)*IF(D15="บอส",ตั้งค่า!$C$32,1),0)</f>
        <v>2</v>
      </c>
      <c r="J15" s="25" t="n">
        <f aca="false">ROUND(INDEX(เลเวล!$I$5:$I$104,C15)*IF(D15="บอส",ตั้งค่า!$C$31,1),0)</f>
        <v>23</v>
      </c>
      <c r="K15" s="25" t="n">
        <f aca="false">ROUND(INDEX(เลเวล!$M$5:$M$104,C15)*G15*IF(D15="บอส",ตั้งค่า!$C$30,1),0)</f>
        <v>329</v>
      </c>
      <c r="L15" s="25" t="n">
        <f aca="false">ROUND(INDEX(เลเวล!$N$5:$N$104,C15)*IF(D15="บอส",ตั้งค่า!$C$33,1),0)</f>
        <v>125</v>
      </c>
      <c r="M15" s="25" t="n">
        <f aca="false">ROUND(INDEX(เลเวล!$O$5:$O$104,C15)*IF(D15="บอส",ตั้งค่า!$C$33,1),0)</f>
        <v>188</v>
      </c>
      <c r="N15" s="25" t="n">
        <f aca="false">ROUNDUP(H15/INDEX(เลเวล!$G$5:$G$104,C15),0)</f>
        <v>5</v>
      </c>
      <c r="O15" s="3" t="s">
        <v>144</v>
      </c>
    </row>
    <row r="16" customFormat="false" ht="15" hidden="false" customHeight="false" outlineLevel="0" collapsed="false">
      <c r="A16" s="3" t="s">
        <v>145</v>
      </c>
      <c r="B16" s="28" t="s">
        <v>139</v>
      </c>
      <c r="C16" s="28" t="n">
        <v>16</v>
      </c>
      <c r="D16" s="28" t="s">
        <v>119</v>
      </c>
      <c r="E16" s="28" t="s">
        <v>131</v>
      </c>
      <c r="F16" s="29" t="n">
        <v>0.9</v>
      </c>
      <c r="G16" s="29" t="n">
        <v>1.1</v>
      </c>
      <c r="H16" s="25" t="n">
        <f aca="false">ROUND(INDEX(เลเวล!$H$5:$H$104,C16)*F16*IF(D16="บอส",ตั้งค่า!$C$29,1),0)</f>
        <v>193</v>
      </c>
      <c r="I16" s="25" t="n">
        <f aca="false">ROUND(INDEX(เลเวล!$F$5:$F$104,C16)*IF(D16="บอส",ตั้งค่า!$C$32,1),0)</f>
        <v>3</v>
      </c>
      <c r="J16" s="25" t="n">
        <f aca="false">ROUND(INDEX(เลเวล!$I$5:$I$104,C16)*IF(D16="บอส",ตั้งค่า!$C$31,1),0)</f>
        <v>26</v>
      </c>
      <c r="K16" s="25" t="n">
        <f aca="false">ROUND(INDEX(เลเวล!$M$5:$M$104,C16)*G16*IF(D16="บอส",ตั้งค่า!$C$30,1),0)</f>
        <v>397</v>
      </c>
      <c r="L16" s="25" t="n">
        <f aca="false">ROUND(INDEX(เลเวล!$N$5:$N$104,C16)*IF(D16="บอส",ตั้งค่า!$C$33,1),0)</f>
        <v>144</v>
      </c>
      <c r="M16" s="25" t="n">
        <f aca="false">ROUND(INDEX(เลเวล!$O$5:$O$104,C16)*IF(D16="บอส",ตั้งค่า!$C$33,1),0)</f>
        <v>217</v>
      </c>
      <c r="N16" s="25" t="n">
        <f aca="false">ROUNDUP(H16/INDEX(เลเวล!$G$5:$G$104,C16),0)</f>
        <v>4</v>
      </c>
      <c r="O16" s="3" t="s">
        <v>146</v>
      </c>
    </row>
    <row r="17" customFormat="false" ht="15" hidden="false" customHeight="false" outlineLevel="0" collapsed="false">
      <c r="A17" s="3" t="s">
        <v>147</v>
      </c>
      <c r="B17" s="28" t="s">
        <v>139</v>
      </c>
      <c r="C17" s="28" t="n">
        <v>18</v>
      </c>
      <c r="D17" s="28" t="s">
        <v>119</v>
      </c>
      <c r="E17" s="28" t="s">
        <v>131</v>
      </c>
      <c r="F17" s="29" t="n">
        <v>1.4</v>
      </c>
      <c r="G17" s="29" t="n">
        <v>1.25</v>
      </c>
      <c r="H17" s="25" t="n">
        <f aca="false">ROUND(INDEX(เลเวล!$H$5:$H$104,C17)*F17*IF(D17="บอส",ตั้งค่า!$C$29,1),0)</f>
        <v>344</v>
      </c>
      <c r="I17" s="25" t="n">
        <f aca="false">ROUND(INDEX(เลเวล!$F$5:$F$104,C17)*IF(D17="บอส",ตั้งค่า!$C$32,1),0)</f>
        <v>3</v>
      </c>
      <c r="J17" s="25" t="n">
        <f aca="false">ROUND(INDEX(เลเวล!$I$5:$I$104,C17)*IF(D17="บอส",ตั้งค่า!$C$31,1),0)</f>
        <v>29</v>
      </c>
      <c r="K17" s="25" t="n">
        <f aca="false">ROUND(INDEX(เลเวล!$M$5:$M$104,C17)*G17*IF(D17="บอส",ตั้งค่า!$C$30,1),0)</f>
        <v>511</v>
      </c>
      <c r="L17" s="25" t="n">
        <f aca="false">ROUND(INDEX(เลเวล!$N$5:$N$104,C17)*IF(D17="บอส",ตั้งค่า!$C$33,1),0)</f>
        <v>164</v>
      </c>
      <c r="M17" s="25" t="n">
        <f aca="false">ROUND(INDEX(เลเวล!$O$5:$O$104,C17)*IF(D17="บอส",ตั้งค่า!$C$33,1),0)</f>
        <v>245</v>
      </c>
      <c r="N17" s="25" t="n">
        <f aca="false">ROUNDUP(H17/INDEX(เลเวล!$G$5:$G$104,C17),0)</f>
        <v>6</v>
      </c>
      <c r="O17" s="3" t="s">
        <v>148</v>
      </c>
    </row>
    <row r="18" customFormat="false" ht="15" hidden="false" customHeight="false" outlineLevel="0" collapsed="false">
      <c r="A18" s="30" t="s">
        <v>149</v>
      </c>
      <c r="B18" s="31" t="s">
        <v>139</v>
      </c>
      <c r="C18" s="31" t="n">
        <v>20</v>
      </c>
      <c r="D18" s="31" t="s">
        <v>136</v>
      </c>
      <c r="E18" s="31" t="s">
        <v>131</v>
      </c>
      <c r="F18" s="29" t="n">
        <v>1</v>
      </c>
      <c r="G18" s="29" t="n">
        <v>1</v>
      </c>
      <c r="H18" s="25" t="n">
        <f aca="false">ROUND(INDEX(เลเวล!$H$5:$H$104,C18)*F18*IF(D18="บอส",ตั้งค่า!$C$29,1),0)</f>
        <v>11000</v>
      </c>
      <c r="I18" s="25" t="n">
        <f aca="false">ROUND(INDEX(เลเวล!$F$5:$F$104,C18)*IF(D18="บอส",ตั้งค่า!$C$32,1),0)</f>
        <v>8</v>
      </c>
      <c r="J18" s="25" t="n">
        <f aca="false">ROUND(INDEX(เลเวล!$I$5:$I$104,C18)*IF(D18="บอส",ตั้งค่า!$C$31,1),0)</f>
        <v>80</v>
      </c>
      <c r="K18" s="25" t="n">
        <f aca="false">ROUND(INDEX(เลเวล!$M$5:$M$104,C18)*G18*IF(D18="บอส",ตั้งค่า!$C$30,1),0)</f>
        <v>11425</v>
      </c>
      <c r="L18" s="25" t="n">
        <f aca="false">ROUND(INDEX(เลเวล!$N$5:$N$104,C18)*IF(D18="บอส",ตั้งค่า!$C$33,1),0)</f>
        <v>3660</v>
      </c>
      <c r="M18" s="25" t="n">
        <f aca="false">ROUND(INDEX(เลเวล!$O$5:$O$104,C18)*IF(D18="บอส",ตั้งค่า!$C$33,1),0)</f>
        <v>5480</v>
      </c>
      <c r="N18" s="25" t="n">
        <f aca="false">ROUNDUP(H18/INDEX(เลเวล!$G$5:$G$104,C18),0)</f>
        <v>160</v>
      </c>
      <c r="O18" s="3" t="s">
        <v>150</v>
      </c>
    </row>
    <row r="19" customFormat="false" ht="15" hidden="false" customHeight="false" outlineLevel="0" collapsed="false">
      <c r="A19" s="3" t="s">
        <v>151</v>
      </c>
      <c r="B19" s="28" t="s">
        <v>152</v>
      </c>
      <c r="C19" s="28" t="n">
        <v>22</v>
      </c>
      <c r="D19" s="28" t="s">
        <v>119</v>
      </c>
      <c r="E19" s="28" t="s">
        <v>131</v>
      </c>
      <c r="F19" s="29" t="n">
        <v>1.2</v>
      </c>
      <c r="G19" s="29" t="n">
        <v>1.1</v>
      </c>
      <c r="H19" s="25" t="n">
        <f aca="false">ROUND(INDEX(เลเวล!$H$5:$H$104,C19)*F19*IF(D19="บอส",ตั้งค่า!$C$29,1),0)</f>
        <v>373</v>
      </c>
      <c r="I19" s="25" t="n">
        <f aca="false">ROUND(INDEX(เลเวล!$F$5:$F$104,C19)*IF(D19="บอส",ตั้งค่า!$C$32,1),0)</f>
        <v>4</v>
      </c>
      <c r="J19" s="25" t="n">
        <f aca="false">ROUND(INDEX(เลเวล!$I$5:$I$104,C19)*IF(D19="บอส",ตั้งค่า!$C$31,1),0)</f>
        <v>35</v>
      </c>
      <c r="K19" s="25" t="n">
        <f aca="false">ROUND(INDEX(เลเวล!$M$5:$M$104,C19)*G19*IF(D19="บอส",ตั้งค่า!$C$30,1),0)</f>
        <v>554</v>
      </c>
      <c r="L19" s="25" t="n">
        <f aca="false">ROUND(INDEX(เลเวล!$N$5:$N$104,C19)*IF(D19="บอส",ตั้งค่า!$C$33,1),0)</f>
        <v>202</v>
      </c>
      <c r="M19" s="25" t="n">
        <f aca="false">ROUND(INDEX(เลเวล!$O$5:$O$104,C19)*IF(D19="บอส",ตั้งค่า!$C$33,1),0)</f>
        <v>302</v>
      </c>
      <c r="N19" s="25" t="n">
        <f aca="false">ROUNDUP(H19/INDEX(เลเวล!$G$5:$G$104,C19),0)</f>
        <v>5</v>
      </c>
      <c r="O19" s="3" t="s">
        <v>153</v>
      </c>
    </row>
    <row r="20" customFormat="false" ht="15" hidden="false" customHeight="false" outlineLevel="0" collapsed="false">
      <c r="A20" s="3" t="s">
        <v>154</v>
      </c>
      <c r="B20" s="28" t="s">
        <v>152</v>
      </c>
      <c r="C20" s="28" t="n">
        <v>24</v>
      </c>
      <c r="D20" s="28" t="s">
        <v>119</v>
      </c>
      <c r="E20" s="28" t="s">
        <v>131</v>
      </c>
      <c r="F20" s="29" t="n">
        <v>0.8</v>
      </c>
      <c r="G20" s="29" t="n">
        <v>0.9</v>
      </c>
      <c r="H20" s="25" t="n">
        <f aca="false">ROUND(INDEX(เลเวล!$H$5:$H$104,C20)*F20*IF(D20="บอส",ตั้งค่า!$C$29,1),0)</f>
        <v>277</v>
      </c>
      <c r="I20" s="25" t="n">
        <f aca="false">ROUND(INDEX(เลเวล!$F$5:$F$104,C20)*IF(D20="บอส",ตั้งค่า!$C$32,1),0)</f>
        <v>5</v>
      </c>
      <c r="J20" s="25" t="n">
        <f aca="false">ROUND(INDEX(เลเวล!$I$5:$I$104,C20)*IF(D20="บอส",ตั้งค่า!$C$31,1),0)</f>
        <v>39</v>
      </c>
      <c r="K20" s="25" t="n">
        <f aca="false">ROUND(INDEX(เลเวล!$M$5:$M$104,C20)*G20*IF(D20="บอส",ตั้งค่า!$C$30,1),0)</f>
        <v>497</v>
      </c>
      <c r="L20" s="25" t="n">
        <f aca="false">ROUND(INDEX(เลเวล!$N$5:$N$104,C20)*IF(D20="บอส",ตั้งค่า!$C$33,1),0)</f>
        <v>221</v>
      </c>
      <c r="M20" s="25" t="n">
        <f aca="false">ROUND(INDEX(เลเวล!$O$5:$O$104,C20)*IF(D20="บอส",ตั้งค่า!$C$33,1),0)</f>
        <v>331</v>
      </c>
      <c r="N20" s="25" t="n">
        <f aca="false">ROUNDUP(H20/INDEX(เลเวล!$G$5:$G$104,C20),0)</f>
        <v>4</v>
      </c>
      <c r="O20" s="3" t="s">
        <v>155</v>
      </c>
    </row>
    <row r="21" customFormat="false" ht="15" hidden="false" customHeight="false" outlineLevel="0" collapsed="false">
      <c r="A21" s="3" t="s">
        <v>156</v>
      </c>
      <c r="B21" s="28" t="s">
        <v>152</v>
      </c>
      <c r="C21" s="28" t="n">
        <v>26</v>
      </c>
      <c r="D21" s="28" t="s">
        <v>119</v>
      </c>
      <c r="E21" s="28" t="s">
        <v>131</v>
      </c>
      <c r="F21" s="29" t="n">
        <v>0.9</v>
      </c>
      <c r="G21" s="29" t="n">
        <v>1.05</v>
      </c>
      <c r="H21" s="25" t="n">
        <f aca="false">ROUND(INDEX(เลเวล!$H$5:$H$104,C21)*F21*IF(D21="บอส",ตั้งค่า!$C$29,1),0)</f>
        <v>348</v>
      </c>
      <c r="I21" s="25" t="n">
        <f aca="false">ROUND(INDEX(เลเวล!$F$5:$F$104,C21)*IF(D21="บอส",ตั้งค่า!$C$32,1),0)</f>
        <v>5</v>
      </c>
      <c r="J21" s="25" t="n">
        <f aca="false">ROUND(INDEX(เลเวล!$I$5:$I$104,C21)*IF(D21="บอส",ตั้งค่า!$C$31,1),0)</f>
        <v>42</v>
      </c>
      <c r="K21" s="25" t="n">
        <f aca="false">ROUND(INDEX(เลเวล!$M$5:$M$104,C21)*G21*IF(D21="บอส",ตั้งค่า!$C$30,1),0)</f>
        <v>629</v>
      </c>
      <c r="L21" s="25" t="n">
        <f aca="false">ROUND(INDEX(เลเวล!$N$5:$N$104,C21)*IF(D21="บอส",ตั้งค่า!$C$33,1),0)</f>
        <v>240</v>
      </c>
      <c r="M21" s="25" t="n">
        <f aca="false">ROUND(INDEX(เลเวล!$O$5:$O$104,C21)*IF(D21="บอส",ตั้งค่า!$C$33,1),0)</f>
        <v>359</v>
      </c>
      <c r="N21" s="25" t="n">
        <f aca="false">ROUNDUP(H21/INDEX(เลเวล!$G$5:$G$104,C21),0)</f>
        <v>4</v>
      </c>
      <c r="O21" s="3" t="s">
        <v>157</v>
      </c>
    </row>
    <row r="22" customFormat="false" ht="15" hidden="false" customHeight="false" outlineLevel="0" collapsed="false">
      <c r="A22" s="3" t="s">
        <v>158</v>
      </c>
      <c r="B22" s="28" t="s">
        <v>152</v>
      </c>
      <c r="C22" s="28" t="n">
        <v>29</v>
      </c>
      <c r="D22" s="28" t="s">
        <v>119</v>
      </c>
      <c r="E22" s="28" t="s">
        <v>131</v>
      </c>
      <c r="F22" s="29" t="n">
        <v>1.1</v>
      </c>
      <c r="G22" s="29" t="n">
        <v>1.1</v>
      </c>
      <c r="H22" s="25" t="n">
        <f aca="false">ROUND(INDEX(เลเวล!$H$5:$H$104,C22)*F22*IF(D22="บอส",ตั้งค่า!$C$29,1),0)</f>
        <v>495</v>
      </c>
      <c r="I22" s="25" t="n">
        <f aca="false">ROUND(INDEX(เลเวล!$F$5:$F$104,C22)*IF(D22="บอส",ตั้งค่า!$C$32,1),0)</f>
        <v>6</v>
      </c>
      <c r="J22" s="25" t="n">
        <f aca="false">ROUND(INDEX(เลเวล!$I$5:$I$104,C22)*IF(D22="บอส",ตั้งค่า!$C$31,1),0)</f>
        <v>48</v>
      </c>
      <c r="K22" s="25" t="n">
        <f aca="false">ROUND(INDEX(เลเวล!$M$5:$M$104,C22)*G22*IF(D22="บอส",ตั้งค่า!$C$30,1),0)</f>
        <v>737</v>
      </c>
      <c r="L22" s="25" t="n">
        <f aca="false">ROUND(INDEX(เลเวล!$N$5:$N$104,C22)*IF(D22="บอส",ตั้งค่า!$C$33,1),0)</f>
        <v>268</v>
      </c>
      <c r="M22" s="25" t="n">
        <f aca="false">ROUND(INDEX(เลเวล!$O$5:$O$104,C22)*IF(D22="บอส",ตั้งค่า!$C$33,1),0)</f>
        <v>402</v>
      </c>
      <c r="N22" s="25" t="n">
        <f aca="false">ROUNDUP(H22/INDEX(เลเวล!$G$5:$G$104,C22),0)</f>
        <v>5</v>
      </c>
      <c r="O22" s="3" t="s">
        <v>159</v>
      </c>
    </row>
    <row r="23" customFormat="false" ht="15" hidden="false" customHeight="false" outlineLevel="0" collapsed="false">
      <c r="A23" s="3" t="s">
        <v>160</v>
      </c>
      <c r="B23" s="28" t="s">
        <v>152</v>
      </c>
      <c r="C23" s="28" t="n">
        <v>32</v>
      </c>
      <c r="D23" s="28" t="s">
        <v>119</v>
      </c>
      <c r="E23" s="28" t="s">
        <v>131</v>
      </c>
      <c r="F23" s="29" t="n">
        <v>1.6</v>
      </c>
      <c r="G23" s="29" t="n">
        <v>1.35</v>
      </c>
      <c r="H23" s="25" t="n">
        <f aca="false">ROUND(INDEX(เลเวล!$H$5:$H$104,C23)*F23*IF(D23="บอส",ตั้งค่า!$C$29,1),0)</f>
        <v>830</v>
      </c>
      <c r="I23" s="25" t="n">
        <f aca="false">ROUND(INDEX(เลเวล!$F$5:$F$104,C23)*IF(D23="บอส",ตั้งค่า!$C$32,1),0)</f>
        <v>7</v>
      </c>
      <c r="J23" s="25" t="n">
        <f aca="false">ROUND(INDEX(เลเวล!$I$5:$I$104,C23)*IF(D23="บอส",ตั้งค่า!$C$31,1),0)</f>
        <v>54</v>
      </c>
      <c r="K23" s="25" t="n">
        <f aca="false">ROUND(INDEX(เลเวล!$M$5:$M$104,C23)*G23*IF(D23="บอส",ตั้งค่า!$C$30,1),0)</f>
        <v>999</v>
      </c>
      <c r="L23" s="25" t="n">
        <f aca="false">ROUND(INDEX(เลเวล!$N$5:$N$104,C23)*IF(D23="บอส",ตั้งค่า!$C$33,1),0)</f>
        <v>296</v>
      </c>
      <c r="M23" s="25" t="n">
        <f aca="false">ROUND(INDEX(เลเวล!$O$5:$O$104,C23)*IF(D23="บอส",ตั้งค่า!$C$33,1),0)</f>
        <v>444</v>
      </c>
      <c r="N23" s="25" t="n">
        <f aca="false">ROUNDUP(H23/INDEX(เลเวล!$G$5:$G$104,C23),0)</f>
        <v>7</v>
      </c>
      <c r="O23" s="3" t="s">
        <v>161</v>
      </c>
    </row>
    <row r="24" customFormat="false" ht="15" hidden="false" customHeight="false" outlineLevel="0" collapsed="false">
      <c r="A24" s="30" t="s">
        <v>162</v>
      </c>
      <c r="B24" s="31" t="s">
        <v>152</v>
      </c>
      <c r="C24" s="31" t="n">
        <v>35</v>
      </c>
      <c r="D24" s="31" t="s">
        <v>136</v>
      </c>
      <c r="E24" s="31" t="s">
        <v>131</v>
      </c>
      <c r="F24" s="29" t="n">
        <v>1</v>
      </c>
      <c r="G24" s="29" t="n">
        <v>1</v>
      </c>
      <c r="H24" s="25" t="n">
        <f aca="false">ROUND(INDEX(เลเวล!$H$5:$H$104,C24)*F24*IF(D24="บอส",ตั้งค่า!$C$29,1),0)</f>
        <v>23840</v>
      </c>
      <c r="I24" s="25" t="n">
        <f aca="false">ROUND(INDEX(เลเวล!$F$5:$F$104,C24)*IF(D24="บอส",ตั้งค่า!$C$32,1),0)</f>
        <v>16</v>
      </c>
      <c r="J24" s="25" t="n">
        <f aca="false">ROUND(INDEX(เลเวล!$I$5:$I$104,C24)*IF(D24="บอส",ตั้งค่า!$C$31,1),0)</f>
        <v>153</v>
      </c>
      <c r="K24" s="25" t="n">
        <f aca="false">ROUND(INDEX(เลเวล!$M$5:$M$104,C24)*G24*IF(D24="บอส",ตั้งค่า!$C$30,1),0)</f>
        <v>20275</v>
      </c>
      <c r="L24" s="25" t="n">
        <f aca="false">ROUND(INDEX(เลเวล!$N$5:$N$104,C24)*IF(D24="บอส",ตั้งค่า!$C$33,1),0)</f>
        <v>6480</v>
      </c>
      <c r="M24" s="25" t="n">
        <f aca="false">ROUND(INDEX(เลเวล!$O$5:$O$104,C24)*IF(D24="บอส",ตั้งค่า!$C$33,1),0)</f>
        <v>9740</v>
      </c>
      <c r="N24" s="25" t="n">
        <f aca="false">ROUNDUP(H24/INDEX(เลเวล!$G$5:$G$104,C24),0)</f>
        <v>161</v>
      </c>
      <c r="O24" s="3" t="s">
        <v>163</v>
      </c>
    </row>
    <row r="25" customFormat="false" ht="15" hidden="false" customHeight="false" outlineLevel="0" collapsed="false">
      <c r="A25" s="3" t="s">
        <v>164</v>
      </c>
      <c r="B25" s="28" t="s">
        <v>165</v>
      </c>
      <c r="C25" s="28" t="n">
        <v>38</v>
      </c>
      <c r="D25" s="28" t="s">
        <v>119</v>
      </c>
      <c r="E25" s="28" t="s">
        <v>131</v>
      </c>
      <c r="F25" s="29" t="n">
        <v>1</v>
      </c>
      <c r="G25" s="29" t="n">
        <v>1.05</v>
      </c>
      <c r="H25" s="25" t="n">
        <f aca="false">ROUND(INDEX(เลเวล!$H$5:$H$104,C25)*F25*IF(D25="บอส",ตั้งค่า!$C$29,1),0)</f>
        <v>680</v>
      </c>
      <c r="I25" s="25" t="n">
        <f aca="false">ROUND(INDEX(เลเวล!$F$5:$F$104,C25)*IF(D25="บอส",ตั้งค่า!$C$32,1),0)</f>
        <v>9</v>
      </c>
      <c r="J25" s="25" t="n">
        <f aca="false">ROUND(INDEX(เลเวล!$I$5:$I$104,C25)*IF(D25="บอส",ตั้งค่า!$C$31,1),0)</f>
        <v>68</v>
      </c>
      <c r="K25" s="25" t="n">
        <f aca="false">ROUND(INDEX(เลเวล!$M$5:$M$104,C25)*G25*IF(D25="บอส",ตั้งค่า!$C$30,1),0)</f>
        <v>925</v>
      </c>
      <c r="L25" s="25" t="n">
        <f aca="false">ROUND(INDEX(เลเวล!$N$5:$N$104,C25)*IF(D25="บอส",ตั้งค่า!$C$33,1),0)</f>
        <v>352</v>
      </c>
      <c r="M25" s="25" t="n">
        <f aca="false">ROUND(INDEX(เลเวล!$O$5:$O$104,C25)*IF(D25="บอส",ตั้งค่า!$C$33,1),0)</f>
        <v>529</v>
      </c>
      <c r="N25" s="25" t="n">
        <f aca="false">ROUNDUP(H25/INDEX(เลเวล!$G$5:$G$104,C25),0)</f>
        <v>5</v>
      </c>
      <c r="O25" s="3" t="s">
        <v>166</v>
      </c>
    </row>
    <row r="26" customFormat="false" ht="15" hidden="false" customHeight="false" outlineLevel="0" collapsed="false">
      <c r="A26" s="3" t="s">
        <v>167</v>
      </c>
      <c r="B26" s="28" t="s">
        <v>165</v>
      </c>
      <c r="C26" s="28" t="n">
        <v>41</v>
      </c>
      <c r="D26" s="28" t="s">
        <v>119</v>
      </c>
      <c r="E26" s="28" t="s">
        <v>131</v>
      </c>
      <c r="F26" s="29" t="n">
        <v>0.8</v>
      </c>
      <c r="G26" s="29" t="n">
        <v>1</v>
      </c>
      <c r="H26" s="25" t="n">
        <f aca="false">ROUND(INDEX(เลเวล!$H$5:$H$104,C26)*F26*IF(D26="บอส",ตั้งค่า!$C$29,1),0)</f>
        <v>618</v>
      </c>
      <c r="I26" s="25" t="n">
        <f aca="false">ROUND(INDEX(เลเวล!$F$5:$F$104,C26)*IF(D26="บอส",ตั้งค่า!$C$32,1),0)</f>
        <v>10</v>
      </c>
      <c r="J26" s="25" t="n">
        <f aca="false">ROUND(INDEX(เลเวล!$I$5:$I$104,C26)*IF(D26="บอส",ตั้งค่า!$C$31,1),0)</f>
        <v>76</v>
      </c>
      <c r="K26" s="25" t="n">
        <f aca="false">ROUND(INDEX(เลเวล!$M$5:$M$104,C26)*G26*IF(D26="บอส",ตั้งค่า!$C$30,1),0)</f>
        <v>951</v>
      </c>
      <c r="L26" s="25" t="n">
        <f aca="false">ROUND(INDEX(เลเวล!$N$5:$N$104,C26)*IF(D26="บอส",ตั้งค่า!$C$33,1),0)</f>
        <v>380</v>
      </c>
      <c r="M26" s="25" t="n">
        <f aca="false">ROUND(INDEX(เลเวล!$O$5:$O$104,C26)*IF(D26="บอส",ตั้งค่า!$C$33,1),0)</f>
        <v>571</v>
      </c>
      <c r="N26" s="25" t="n">
        <f aca="false">ROUNDUP(H26/INDEX(เลเวล!$G$5:$G$104,C26),0)</f>
        <v>4</v>
      </c>
      <c r="O26" s="3" t="s">
        <v>168</v>
      </c>
    </row>
    <row r="27" customFormat="false" ht="15" hidden="false" customHeight="false" outlineLevel="0" collapsed="false">
      <c r="A27" s="3" t="s">
        <v>169</v>
      </c>
      <c r="B27" s="28" t="s">
        <v>165</v>
      </c>
      <c r="C27" s="28" t="n">
        <v>43</v>
      </c>
      <c r="D27" s="28" t="s">
        <v>119</v>
      </c>
      <c r="E27" s="28" t="s">
        <v>131</v>
      </c>
      <c r="F27" s="29" t="n">
        <v>1</v>
      </c>
      <c r="G27" s="29" t="n">
        <v>1</v>
      </c>
      <c r="H27" s="25" t="n">
        <f aca="false">ROUND(INDEX(เลเวล!$H$5:$H$104,C27)*F27*IF(D27="บอส",ตั้งค่า!$C$29,1),0)</f>
        <v>838</v>
      </c>
      <c r="I27" s="25" t="n">
        <f aca="false">ROUND(INDEX(เลเวล!$F$5:$F$104,C27)*IF(D27="บอส",ตั้งค่า!$C$32,1),0)</f>
        <v>11</v>
      </c>
      <c r="J27" s="25" t="n">
        <f aca="false">ROUND(INDEX(เลเวล!$I$5:$I$104,C27)*IF(D27="บอส",ตั้งค่า!$C$31,1),0)</f>
        <v>81</v>
      </c>
      <c r="K27" s="25" t="n">
        <f aca="false">ROUND(INDEX(เลเวล!$M$5:$M$104,C27)*G27*IF(D27="บอส",ตั้งค่า!$C$30,1),0)</f>
        <v>998</v>
      </c>
      <c r="L27" s="25" t="n">
        <f aca="false">ROUND(INDEX(เลเวล!$N$5:$N$104,C27)*IF(D27="บอส",ตั้งค่า!$C$33,1),0)</f>
        <v>399</v>
      </c>
      <c r="M27" s="25" t="n">
        <f aca="false">ROUND(INDEX(เลเวล!$O$5:$O$104,C27)*IF(D27="บอส",ตั้งค่า!$C$33,1),0)</f>
        <v>599</v>
      </c>
      <c r="N27" s="25" t="n">
        <f aca="false">ROUNDUP(H27/INDEX(เลเวล!$G$5:$G$104,C27),0)</f>
        <v>4</v>
      </c>
      <c r="O27" s="3" t="s">
        <v>170</v>
      </c>
    </row>
    <row r="28" customFormat="false" ht="15" hidden="false" customHeight="false" outlineLevel="0" collapsed="false">
      <c r="A28" s="3" t="s">
        <v>171</v>
      </c>
      <c r="B28" s="28" t="s">
        <v>165</v>
      </c>
      <c r="C28" s="28" t="n">
        <v>46</v>
      </c>
      <c r="D28" s="28" t="s">
        <v>119</v>
      </c>
      <c r="E28" s="28" t="s">
        <v>131</v>
      </c>
      <c r="F28" s="29" t="n">
        <v>1.2</v>
      </c>
      <c r="G28" s="29" t="n">
        <v>1.1</v>
      </c>
      <c r="H28" s="25" t="n">
        <f aca="false">ROUND(INDEX(เลเวล!$H$5:$H$104,C28)*F28*IF(D28="บอส",ตั้งค่า!$C$29,1),0)</f>
        <v>1136</v>
      </c>
      <c r="I28" s="25" t="n">
        <f aca="false">ROUND(INDEX(เลเวล!$F$5:$F$104,C28)*IF(D28="บอส",ตั้งค่า!$C$32,1),0)</f>
        <v>12</v>
      </c>
      <c r="J28" s="25" t="n">
        <f aca="false">ROUND(INDEX(เลเวล!$I$5:$I$104,C28)*IF(D28="บอส",ตั้งค่า!$C$31,1),0)</f>
        <v>90</v>
      </c>
      <c r="K28" s="25" t="n">
        <f aca="false">ROUND(INDEX(เลเวล!$M$5:$M$104,C28)*G28*IF(D28="บอส",ตั้งค่า!$C$30,1),0)</f>
        <v>1175</v>
      </c>
      <c r="L28" s="25" t="n">
        <f aca="false">ROUND(INDEX(เลเวล!$N$5:$N$104,C28)*IF(D28="บอส",ตั้งค่า!$C$33,1),0)</f>
        <v>427</v>
      </c>
      <c r="M28" s="25" t="n">
        <f aca="false">ROUND(INDEX(เลเวล!$O$5:$O$104,C28)*IF(D28="บอส",ตั้งค่า!$C$33,1),0)</f>
        <v>641</v>
      </c>
      <c r="N28" s="25" t="n">
        <f aca="false">ROUNDUP(H28/INDEX(เลเวล!$G$5:$G$104,C28),0)</f>
        <v>5</v>
      </c>
      <c r="O28" s="3" t="s">
        <v>172</v>
      </c>
    </row>
    <row r="29" customFormat="false" ht="15" hidden="false" customHeight="false" outlineLevel="0" collapsed="false">
      <c r="A29" s="3" t="s">
        <v>173</v>
      </c>
      <c r="B29" s="28" t="s">
        <v>165</v>
      </c>
      <c r="C29" s="28" t="n">
        <v>50</v>
      </c>
      <c r="D29" s="28" t="s">
        <v>119</v>
      </c>
      <c r="E29" s="28" t="s">
        <v>131</v>
      </c>
      <c r="F29" s="29" t="n">
        <v>1.5</v>
      </c>
      <c r="G29" s="29" t="n">
        <v>1.3</v>
      </c>
      <c r="H29" s="25" t="n">
        <f aca="false">ROUND(INDEX(เลเวล!$H$5:$H$104,C29)*F29*IF(D29="บอส",ตั้งค่า!$C$29,1),0)</f>
        <v>1652</v>
      </c>
      <c r="I29" s="25" t="n">
        <f aca="false">ROUND(INDEX(เลเวล!$F$5:$F$104,C29)*IF(D29="บอส",ตั้งค่า!$C$32,1),0)</f>
        <v>15</v>
      </c>
      <c r="J29" s="25" t="n">
        <f aca="false">ROUND(INDEX(เลเวล!$I$5:$I$104,C29)*IF(D29="บอส",ตั้งค่า!$C$31,1),0)</f>
        <v>102</v>
      </c>
      <c r="K29" s="25" t="n">
        <f aca="false">ROUND(INDEX(เลเวล!$M$5:$M$104,C29)*G29*IF(D29="บอส",ตั้งค่า!$C$30,1),0)</f>
        <v>1511</v>
      </c>
      <c r="L29" s="25" t="n">
        <f aca="false">ROUND(INDEX(เลเวล!$N$5:$N$104,C29)*IF(D29="บอส",ตั้งค่า!$C$33,1),0)</f>
        <v>465</v>
      </c>
      <c r="M29" s="25" t="n">
        <f aca="false">ROUND(INDEX(เลเวล!$O$5:$O$104,C29)*IF(D29="บอส",ตั้งค่า!$C$33,1),0)</f>
        <v>697</v>
      </c>
      <c r="N29" s="25" t="n">
        <f aca="false">ROUNDUP(H29/INDEX(เลเวล!$G$5:$G$104,C29),0)</f>
        <v>7</v>
      </c>
      <c r="O29" s="3" t="s">
        <v>174</v>
      </c>
    </row>
    <row r="30" customFormat="false" ht="15" hidden="false" customHeight="false" outlineLevel="0" collapsed="false">
      <c r="A30" s="30" t="s">
        <v>175</v>
      </c>
      <c r="B30" s="31" t="s">
        <v>165</v>
      </c>
      <c r="C30" s="31" t="n">
        <v>55</v>
      </c>
      <c r="D30" s="31" t="s">
        <v>136</v>
      </c>
      <c r="E30" s="31" t="s">
        <v>131</v>
      </c>
      <c r="F30" s="29" t="n">
        <v>1</v>
      </c>
      <c r="G30" s="29" t="n">
        <v>1</v>
      </c>
      <c r="H30" s="25" t="n">
        <f aca="false">ROUND(INDEX(เลเวล!$H$5:$H$104,C30)*F30*IF(D30="บอส",ตั้งค่า!$C$29,1),0)</f>
        <v>53200</v>
      </c>
      <c r="I30" s="25" t="n">
        <f aca="false">ROUND(INDEX(เลเวล!$F$5:$F$104,C30)*IF(D30="บอส",ตั้งค่า!$C$32,1),0)</f>
        <v>34</v>
      </c>
      <c r="J30" s="25" t="n">
        <f aca="false">ROUND(INDEX(เลเวล!$I$5:$I$104,C30)*IF(D30="บอส",ตั้งค่า!$C$31,1),0)</f>
        <v>298</v>
      </c>
      <c r="K30" s="25" t="n">
        <f aca="false">ROUND(INDEX(เลเวล!$M$5:$M$104,C30)*G30*IF(D30="บอส",ตั้งค่า!$C$30,1),0)</f>
        <v>31975</v>
      </c>
      <c r="L30" s="25" t="n">
        <f aca="false">ROUND(INDEX(เลเวล!$N$5:$N$104,C30)*IF(D30="บอส",ตั้งค่า!$C$33,1),0)</f>
        <v>10240</v>
      </c>
      <c r="M30" s="25" t="n">
        <f aca="false">ROUND(INDEX(เลเวล!$O$5:$O$104,C30)*IF(D30="บอส",ตั้งค่า!$C$33,1),0)</f>
        <v>15340</v>
      </c>
      <c r="N30" s="25" t="n">
        <f aca="false">ROUNDUP(H30/INDEX(เลเวล!$G$5:$G$104,C30),0)</f>
        <v>160</v>
      </c>
      <c r="O30" s="3" t="s">
        <v>176</v>
      </c>
    </row>
    <row r="31" customFormat="false" ht="15" hidden="false" customHeight="false" outlineLevel="0" collapsed="false">
      <c r="A31" s="3" t="s">
        <v>177</v>
      </c>
      <c r="B31" s="28" t="s">
        <v>178</v>
      </c>
      <c r="C31" s="28" t="n">
        <v>58</v>
      </c>
      <c r="D31" s="28" t="s">
        <v>119</v>
      </c>
      <c r="E31" s="28" t="s">
        <v>131</v>
      </c>
      <c r="F31" s="29" t="n">
        <v>1.3</v>
      </c>
      <c r="G31" s="29" t="n">
        <v>1.15</v>
      </c>
      <c r="H31" s="25" t="n">
        <f aca="false">ROUND(INDEX(เลเวล!$H$5:$H$104,C31)*F31*IF(D31="บอส",ตั้งค่า!$C$29,1),0)</f>
        <v>1927</v>
      </c>
      <c r="I31" s="25" t="n">
        <f aca="false">ROUND(INDEX(เลเวล!$F$5:$F$104,C31)*IF(D31="บอส",ตั้งค่า!$C$32,1),0)</f>
        <v>19</v>
      </c>
      <c r="J31" s="25" t="n">
        <f aca="false">ROUND(INDEX(เลเวล!$I$5:$I$104,C31)*IF(D31="บอส",ตั้งค่า!$C$31,1),0)</f>
        <v>130</v>
      </c>
      <c r="K31" s="25" t="n">
        <f aca="false">ROUND(INDEX(เลเวล!$M$5:$M$104,C31)*G31*IF(D31="บอส",ตั้งค่า!$C$30,1),0)</f>
        <v>1551</v>
      </c>
      <c r="L31" s="25" t="n">
        <f aca="false">ROUND(INDEX(เลเวล!$N$5:$N$104,C31)*IF(D31="บอส",ตั้งค่า!$C$33,1),0)</f>
        <v>540</v>
      </c>
      <c r="M31" s="25" t="n">
        <f aca="false">ROUND(INDEX(เลเวล!$O$5:$O$104,C31)*IF(D31="บอส",ตั้งค่า!$C$33,1),0)</f>
        <v>809</v>
      </c>
      <c r="N31" s="25" t="n">
        <f aca="false">ROUNDUP(H31/INDEX(เลเวล!$G$5:$G$104,C31),0)</f>
        <v>6</v>
      </c>
      <c r="O31" s="3" t="s">
        <v>179</v>
      </c>
    </row>
    <row r="32" customFormat="false" ht="15" hidden="false" customHeight="false" outlineLevel="0" collapsed="false">
      <c r="A32" s="3" t="s">
        <v>180</v>
      </c>
      <c r="B32" s="28" t="s">
        <v>178</v>
      </c>
      <c r="C32" s="28" t="n">
        <v>61</v>
      </c>
      <c r="D32" s="28" t="s">
        <v>119</v>
      </c>
      <c r="E32" s="28" t="s">
        <v>131</v>
      </c>
      <c r="F32" s="29" t="n">
        <v>1.2</v>
      </c>
      <c r="G32" s="29" t="n">
        <v>1.1</v>
      </c>
      <c r="H32" s="25" t="n">
        <f aca="false">ROUND(INDEX(เลเวล!$H$5:$H$104,C32)*F32*IF(D32="บอส",ตั้งค่า!$C$29,1),0)</f>
        <v>1973</v>
      </c>
      <c r="I32" s="25" t="n">
        <f aca="false">ROUND(INDEX(เลเวล!$F$5:$F$104,C32)*IF(D32="บอส",ตั้งค่า!$C$32,1),0)</f>
        <v>22</v>
      </c>
      <c r="J32" s="25" t="n">
        <f aca="false">ROUND(INDEX(เลเวล!$I$5:$I$104,C32)*IF(D32="บอส",ตั้งค่า!$C$31,1),0)</f>
        <v>143</v>
      </c>
      <c r="K32" s="25" t="n">
        <f aca="false">ROUND(INDEX(เลเวล!$M$5:$M$104,C32)*G32*IF(D32="บอส",ตั้งค่า!$C$30,1),0)</f>
        <v>1561</v>
      </c>
      <c r="L32" s="25" t="n">
        <f aca="false">ROUND(INDEX(เลเวล!$N$5:$N$104,C32)*IF(D32="บอส",ตั้งค่า!$C$33,1),0)</f>
        <v>568</v>
      </c>
      <c r="M32" s="25" t="n">
        <f aca="false">ROUND(INDEX(เลเวล!$O$5:$O$104,C32)*IF(D32="บอส",ตั้งค่า!$C$33,1),0)</f>
        <v>851</v>
      </c>
      <c r="N32" s="25" t="n">
        <f aca="false">ROUNDUP(H32/INDEX(เลเวล!$G$5:$G$104,C32),0)</f>
        <v>5</v>
      </c>
      <c r="O32" s="3" t="s">
        <v>181</v>
      </c>
    </row>
    <row r="33" customFormat="false" ht="15" hidden="false" customHeight="false" outlineLevel="0" collapsed="false">
      <c r="A33" s="3" t="s">
        <v>182</v>
      </c>
      <c r="B33" s="28" t="s">
        <v>178</v>
      </c>
      <c r="C33" s="28" t="n">
        <v>64</v>
      </c>
      <c r="D33" s="28" t="s">
        <v>119</v>
      </c>
      <c r="E33" s="28" t="s">
        <v>131</v>
      </c>
      <c r="F33" s="29" t="n">
        <v>0.9</v>
      </c>
      <c r="G33" s="29" t="n">
        <v>1.05</v>
      </c>
      <c r="H33" s="25" t="n">
        <f aca="false">ROUND(INDEX(เลเวล!$H$5:$H$104,C33)*F33*IF(D33="บอส",ตั้งค่า!$C$29,1),0)</f>
        <v>1643</v>
      </c>
      <c r="I33" s="25" t="n">
        <f aca="false">ROUND(INDEX(เลเวล!$F$5:$F$104,C33)*IF(D33="บอส",ตั้งค่า!$C$32,1),0)</f>
        <v>24</v>
      </c>
      <c r="J33" s="25" t="n">
        <f aca="false">ROUND(INDEX(เลเวล!$I$5:$I$104,C33)*IF(D33="บอส",ตั้งค่า!$C$31,1),0)</f>
        <v>155</v>
      </c>
      <c r="K33" s="25" t="n">
        <f aca="false">ROUND(INDEX(เลเวล!$M$5:$M$104,C33)*G33*IF(D33="บอส",ตั้งค่า!$C$30,1),0)</f>
        <v>1563</v>
      </c>
      <c r="L33" s="25" t="n">
        <f aca="false">ROUND(INDEX(เลเวล!$N$5:$N$104,C33)*IF(D33="บอส",ตั้งค่า!$C$33,1),0)</f>
        <v>596</v>
      </c>
      <c r="M33" s="25" t="n">
        <f aca="false">ROUND(INDEX(เลเวล!$O$5:$O$104,C33)*IF(D33="บอส",ตั้งค่า!$C$33,1),0)</f>
        <v>893</v>
      </c>
      <c r="N33" s="25" t="n">
        <f aca="false">ROUNDUP(H33/INDEX(เลเวล!$G$5:$G$104,C33),0)</f>
        <v>4</v>
      </c>
      <c r="O33" s="3" t="s">
        <v>183</v>
      </c>
    </row>
    <row r="34" customFormat="false" ht="15" hidden="false" customHeight="false" outlineLevel="0" collapsed="false">
      <c r="A34" s="3" t="s">
        <v>184</v>
      </c>
      <c r="B34" s="28" t="s">
        <v>178</v>
      </c>
      <c r="C34" s="28" t="n">
        <v>67</v>
      </c>
      <c r="D34" s="28" t="s">
        <v>119</v>
      </c>
      <c r="E34" s="28" t="s">
        <v>131</v>
      </c>
      <c r="F34" s="29" t="n">
        <v>1.5</v>
      </c>
      <c r="G34" s="29" t="n">
        <v>1.25</v>
      </c>
      <c r="H34" s="25" t="n">
        <f aca="false">ROUND(INDEX(เลเวล!$H$5:$H$104,C34)*F34*IF(D34="บอส",ตั้งค่า!$C$29,1),0)</f>
        <v>3030</v>
      </c>
      <c r="I34" s="25" t="n">
        <f aca="false">ROUND(INDEX(เลเวล!$F$5:$F$104,C34)*IF(D34="บอส",ตั้งค่า!$C$32,1),0)</f>
        <v>27</v>
      </c>
      <c r="J34" s="25" t="n">
        <f aca="false">ROUND(INDEX(เลเวล!$I$5:$I$104,C34)*IF(D34="บอส",ตั้งค่า!$C$31,1),0)</f>
        <v>169</v>
      </c>
      <c r="K34" s="25" t="n">
        <f aca="false">ROUND(INDEX(เลเวล!$M$5:$M$104,C34)*G34*IF(D34="บอส",ตั้งค่า!$C$30,1),0)</f>
        <v>1949</v>
      </c>
      <c r="L34" s="25" t="n">
        <f aca="false">ROUND(INDEX(เลเวล!$N$5:$N$104,C34)*IF(D34="บอส",ตั้งค่า!$C$33,1),0)</f>
        <v>624</v>
      </c>
      <c r="M34" s="25" t="n">
        <f aca="false">ROUND(INDEX(เลเวล!$O$5:$O$104,C34)*IF(D34="บอส",ตั้งค่า!$C$33,1),0)</f>
        <v>935</v>
      </c>
      <c r="N34" s="25" t="n">
        <f aca="false">ROUNDUP(H34/INDEX(เลเวล!$G$5:$G$104,C34),0)</f>
        <v>6</v>
      </c>
      <c r="O34" s="3" t="s">
        <v>185</v>
      </c>
    </row>
    <row r="35" customFormat="false" ht="15" hidden="false" customHeight="false" outlineLevel="0" collapsed="false">
      <c r="A35" s="3" t="s">
        <v>186</v>
      </c>
      <c r="B35" s="28" t="s">
        <v>178</v>
      </c>
      <c r="C35" s="28" t="n">
        <v>71</v>
      </c>
      <c r="D35" s="28" t="s">
        <v>119</v>
      </c>
      <c r="E35" s="28" t="s">
        <v>131</v>
      </c>
      <c r="F35" s="29" t="n">
        <v>1.2</v>
      </c>
      <c r="G35" s="29" t="n">
        <v>1.15</v>
      </c>
      <c r="H35" s="25" t="n">
        <f aca="false">ROUND(INDEX(เลเวล!$H$5:$H$104,C35)*F35*IF(D35="บอส",ตั้งค่า!$C$29,1),0)</f>
        <v>2774</v>
      </c>
      <c r="I35" s="25" t="n">
        <f aca="false">ROUND(INDEX(เลเวล!$F$5:$F$104,C35)*IF(D35="บอส",ตั้งค่า!$C$32,1),0)</f>
        <v>30</v>
      </c>
      <c r="J35" s="25" t="n">
        <f aca="false">ROUND(INDEX(เลเวล!$I$5:$I$104,C35)*IF(D35="บอส",ตั้งค่า!$C$31,1),0)</f>
        <v>189</v>
      </c>
      <c r="K35" s="25" t="n">
        <f aca="false">ROUND(INDEX(เลเวล!$M$5:$M$104,C35)*G35*IF(D35="บอส",ตั้งค่า!$C$30,1),0)</f>
        <v>1901</v>
      </c>
      <c r="L35" s="25" t="n">
        <f aca="false">ROUND(INDEX(เลเวล!$N$5:$N$104,C35)*IF(D35="บอส",ตั้งค่า!$C$33,1),0)</f>
        <v>661</v>
      </c>
      <c r="M35" s="25" t="n">
        <f aca="false">ROUND(INDEX(เลเวล!$O$5:$O$104,C35)*IF(D35="บอส",ตั้งค่า!$C$33,1),0)</f>
        <v>992</v>
      </c>
      <c r="N35" s="25" t="n">
        <f aca="false">ROUNDUP(H35/INDEX(เลเวล!$G$5:$G$104,C35),0)</f>
        <v>5</v>
      </c>
      <c r="O35" s="3" t="s">
        <v>187</v>
      </c>
    </row>
    <row r="36" customFormat="false" ht="15" hidden="false" customHeight="false" outlineLevel="0" collapsed="false">
      <c r="A36" s="30" t="s">
        <v>188</v>
      </c>
      <c r="B36" s="31" t="s">
        <v>178</v>
      </c>
      <c r="C36" s="31" t="n">
        <v>75</v>
      </c>
      <c r="D36" s="31" t="s">
        <v>136</v>
      </c>
      <c r="E36" s="31" t="s">
        <v>131</v>
      </c>
      <c r="F36" s="29" t="n">
        <v>1</v>
      </c>
      <c r="G36" s="29" t="n">
        <v>1</v>
      </c>
      <c r="H36" s="25" t="n">
        <f aca="false">ROUND(INDEX(เลเวล!$H$5:$H$104,C36)*F36*IF(D36="บอส",ตั้งค่า!$C$29,1),0)</f>
        <v>105240</v>
      </c>
      <c r="I36" s="25" t="n">
        <f aca="false">ROUND(INDEX(เลเวล!$F$5:$F$104,C36)*IF(D36="บอส",ตั้งค่า!$C$32,1),0)</f>
        <v>70</v>
      </c>
      <c r="J36" s="25" t="n">
        <f aca="false">ROUND(INDEX(เลเวล!$I$5:$I$104,C36)*IF(D36="บอส",ตั้งค่า!$C$31,1),0)</f>
        <v>528</v>
      </c>
      <c r="K36" s="25" t="n">
        <f aca="false">ROUND(INDEX(เลเวล!$M$5:$M$104,C36)*G36*IF(D36="บอส",ตั้งค่า!$C$30,1),0)</f>
        <v>43650</v>
      </c>
      <c r="L36" s="25" t="n">
        <f aca="false">ROUND(INDEX(เลเวล!$N$5:$N$104,C36)*IF(D36="บอส",ตั้งค่า!$C$33,1),0)</f>
        <v>13960</v>
      </c>
      <c r="M36" s="25" t="n">
        <f aca="false">ROUND(INDEX(เลเวล!$O$5:$O$104,C36)*IF(D36="บอส",ตั้งค่า!$C$33,1),0)</f>
        <v>20960</v>
      </c>
      <c r="N36" s="25" t="n">
        <f aca="false">ROUNDUP(H36/INDEX(เลเวล!$G$5:$G$104,C36),0)</f>
        <v>161</v>
      </c>
      <c r="O36" s="3" t="s">
        <v>189</v>
      </c>
    </row>
    <row r="37" customFormat="false" ht="15" hidden="false" customHeight="false" outlineLevel="0" collapsed="false">
      <c r="A37" s="3" t="s">
        <v>190</v>
      </c>
      <c r="B37" s="28" t="s">
        <v>191</v>
      </c>
      <c r="C37" s="28" t="n">
        <v>80</v>
      </c>
      <c r="D37" s="28" t="s">
        <v>119</v>
      </c>
      <c r="E37" s="28" t="s">
        <v>131</v>
      </c>
      <c r="F37" s="29" t="n">
        <v>1.2</v>
      </c>
      <c r="G37" s="29" t="n">
        <v>1.1</v>
      </c>
      <c r="H37" s="25" t="n">
        <f aca="false">ROUND(INDEX(เลเวล!$H$5:$H$104,C37)*F37*IF(D37="บอส",ตั้งค่า!$C$29,1),0)</f>
        <v>3703</v>
      </c>
      <c r="I37" s="25" t="n">
        <f aca="false">ROUND(INDEX(เลเวล!$F$5:$F$104,C37)*IF(D37="บอส",ตั้งค่า!$C$32,1),0)</f>
        <v>41</v>
      </c>
      <c r="J37" s="25" t="n">
        <f aca="false">ROUND(INDEX(เลเวล!$I$5:$I$104,C37)*IF(D37="บอส",ตั้งค่า!$C$31,1),0)</f>
        <v>240</v>
      </c>
      <c r="K37" s="25" t="n">
        <f aca="false">ROUND(INDEX(เลเวล!$M$5:$M$104,C37)*G37*IF(D37="บอส",ตั้งค่า!$C$30,1),0)</f>
        <v>2049</v>
      </c>
      <c r="L37" s="25" t="n">
        <f aca="false">ROUND(INDEX(เลเวล!$N$5:$N$104,C37)*IF(D37="บอส",ตั้งค่า!$C$33,1),0)</f>
        <v>745</v>
      </c>
      <c r="M37" s="25" t="n">
        <f aca="false">ROUND(INDEX(เลเวล!$O$5:$O$104,C37)*IF(D37="บอส",ตั้งค่า!$C$33,1),0)</f>
        <v>1118</v>
      </c>
      <c r="N37" s="25" t="n">
        <f aca="false">ROUNDUP(H37/INDEX(เลเวล!$G$5:$G$104,C37),0)</f>
        <v>5</v>
      </c>
      <c r="O37" s="3" t="s">
        <v>192</v>
      </c>
    </row>
    <row r="38" customFormat="false" ht="15" hidden="false" customHeight="false" outlineLevel="0" collapsed="false">
      <c r="A38" s="3" t="s">
        <v>193</v>
      </c>
      <c r="B38" s="28" t="s">
        <v>191</v>
      </c>
      <c r="C38" s="28" t="n">
        <v>84</v>
      </c>
      <c r="D38" s="28" t="s">
        <v>119</v>
      </c>
      <c r="E38" s="28" t="s">
        <v>131</v>
      </c>
      <c r="F38" s="29" t="n">
        <v>1.1</v>
      </c>
      <c r="G38" s="29" t="n">
        <v>1.05</v>
      </c>
      <c r="H38" s="25" t="n">
        <f aca="false">ROUND(INDEX(เลเวล!$H$5:$H$104,C38)*F38*IF(D38="บอส",ตั้งค่า!$C$29,1),0)</f>
        <v>3850</v>
      </c>
      <c r="I38" s="25" t="n">
        <f aca="false">ROUND(INDEX(เลเวล!$F$5:$F$104,C38)*IF(D38="บอส",ตั้งค่า!$C$32,1),0)</f>
        <v>46</v>
      </c>
      <c r="J38" s="25" t="n">
        <f aca="false">ROUND(INDEX(เลเวล!$I$5:$I$104,C38)*IF(D38="บอส",ตั้งค่า!$C$31,1),0)</f>
        <v>267</v>
      </c>
      <c r="K38" s="25" t="n">
        <f aca="false">ROUND(INDEX(เลเวล!$M$5:$M$104,C38)*G38*IF(D38="บอส",ตั้งค่า!$C$30,1),0)</f>
        <v>2054</v>
      </c>
      <c r="L38" s="25" t="n">
        <f aca="false">ROUND(INDEX(เลเวล!$N$5:$N$104,C38)*IF(D38="บอส",ตั้งค่า!$C$33,1),0)</f>
        <v>782</v>
      </c>
      <c r="M38" s="25" t="n">
        <f aca="false">ROUND(INDEX(เลเวล!$O$5:$O$104,C38)*IF(D38="บอส",ตั้งค่า!$C$33,1),0)</f>
        <v>1174</v>
      </c>
      <c r="N38" s="25" t="n">
        <f aca="false">ROUNDUP(H38/INDEX(เลเวล!$G$5:$G$104,C38),0)</f>
        <v>5</v>
      </c>
      <c r="O38" s="3" t="s">
        <v>194</v>
      </c>
    </row>
    <row r="39" customFormat="false" ht="15" hidden="false" customHeight="false" outlineLevel="0" collapsed="false">
      <c r="A39" s="3" t="s">
        <v>195</v>
      </c>
      <c r="B39" s="28" t="s">
        <v>191</v>
      </c>
      <c r="C39" s="28" t="n">
        <v>88</v>
      </c>
      <c r="D39" s="28" t="s">
        <v>119</v>
      </c>
      <c r="E39" s="28" t="s">
        <v>131</v>
      </c>
      <c r="F39" s="29" t="n">
        <v>0.9</v>
      </c>
      <c r="G39" s="29" t="n">
        <v>1</v>
      </c>
      <c r="H39" s="25" t="n">
        <f aca="false">ROUND(INDEX(เลเวล!$H$5:$H$104,C39)*F39*IF(D39="บอส",ตั้งค่า!$C$29,1),0)</f>
        <v>3563</v>
      </c>
      <c r="I39" s="25" t="n">
        <f aca="false">ROUND(INDEX(เลเวล!$F$5:$F$104,C39)*IF(D39="บอส",ตั้งค่า!$C$32,1),0)</f>
        <v>52</v>
      </c>
      <c r="J39" s="25" t="n">
        <f aca="false">ROUND(INDEX(เลเวล!$I$5:$I$104,C39)*IF(D39="บอส",ตั้งค่า!$C$31,1),0)</f>
        <v>295</v>
      </c>
      <c r="K39" s="25" t="n">
        <f aca="false">ROUND(INDEX(เลเวล!$M$5:$M$104,C39)*G39*IF(D39="บอส",ตั้งค่า!$C$30,1),0)</f>
        <v>2050</v>
      </c>
      <c r="L39" s="25" t="n">
        <f aca="false">ROUND(INDEX(เลเวล!$N$5:$N$104,C39)*IF(D39="บอส",ตั้งค่า!$C$33,1),0)</f>
        <v>820</v>
      </c>
      <c r="M39" s="25" t="n">
        <f aca="false">ROUND(INDEX(เลเวล!$O$5:$O$104,C39)*IF(D39="บอส",ตั้งค่า!$C$33,1),0)</f>
        <v>1230</v>
      </c>
      <c r="N39" s="25" t="n">
        <f aca="false">ROUNDUP(H39/INDEX(เลเวล!$G$5:$G$104,C39),0)</f>
        <v>4</v>
      </c>
      <c r="O39" s="3" t="s">
        <v>196</v>
      </c>
    </row>
    <row r="40" customFormat="false" ht="15" hidden="false" customHeight="false" outlineLevel="0" collapsed="false">
      <c r="A40" s="3" t="s">
        <v>197</v>
      </c>
      <c r="B40" s="28" t="s">
        <v>191</v>
      </c>
      <c r="C40" s="28" t="n">
        <v>92</v>
      </c>
      <c r="D40" s="28" t="s">
        <v>119</v>
      </c>
      <c r="E40" s="28" t="s">
        <v>131</v>
      </c>
      <c r="F40" s="29" t="n">
        <v>1</v>
      </c>
      <c r="G40" s="29" t="n">
        <v>1.05</v>
      </c>
      <c r="H40" s="25" t="n">
        <f aca="false">ROUND(INDEX(เลเวล!$H$5:$H$104,C40)*F40*IF(D40="บอส",ตั้งค่า!$C$29,1),0)</f>
        <v>4468</v>
      </c>
      <c r="I40" s="25" t="n">
        <f aca="false">ROUND(INDEX(เลเวล!$F$5:$F$104,C40)*IF(D40="บอส",ตั้งค่า!$C$32,1),0)</f>
        <v>59</v>
      </c>
      <c r="J40" s="25" t="n">
        <f aca="false">ROUND(INDEX(เลเวล!$I$5:$I$104,C40)*IF(D40="บอส",ตั้งค่า!$C$31,1),0)</f>
        <v>326</v>
      </c>
      <c r="K40" s="25" t="n">
        <f aca="false">ROUND(INDEX(เลเวล!$M$5:$M$104,C40)*G40*IF(D40="บอส",ตั้งค่า!$C$30,1),0)</f>
        <v>2250</v>
      </c>
      <c r="L40" s="25" t="n">
        <f aca="false">ROUND(INDEX(เลเวล!$N$5:$N$104,C40)*IF(D40="บอส",ตั้งค่า!$C$33,1),0)</f>
        <v>857</v>
      </c>
      <c r="M40" s="25" t="n">
        <f aca="false">ROUND(INDEX(เลเวล!$O$5:$O$104,C40)*IF(D40="บอส",ตั้งค่า!$C$33,1),0)</f>
        <v>1286</v>
      </c>
      <c r="N40" s="25" t="n">
        <f aca="false">ROUNDUP(H40/INDEX(เลเวล!$G$5:$G$104,C40),0)</f>
        <v>4</v>
      </c>
      <c r="O40" s="3" t="s">
        <v>198</v>
      </c>
    </row>
    <row r="41" customFormat="false" ht="15" hidden="false" customHeight="false" outlineLevel="0" collapsed="false">
      <c r="A41" s="3" t="s">
        <v>199</v>
      </c>
      <c r="B41" s="28" t="s">
        <v>191</v>
      </c>
      <c r="C41" s="28" t="n">
        <v>96</v>
      </c>
      <c r="D41" s="28" t="s">
        <v>119</v>
      </c>
      <c r="E41" s="28" t="s">
        <v>131</v>
      </c>
      <c r="F41" s="29" t="n">
        <v>1.3</v>
      </c>
      <c r="G41" s="29" t="n">
        <v>1.2</v>
      </c>
      <c r="H41" s="25" t="n">
        <f aca="false">ROUND(INDEX(เลเวล!$H$5:$H$104,C41)*F41*IF(D41="บอส",ตั้งค่า!$C$29,1),0)</f>
        <v>6549</v>
      </c>
      <c r="I41" s="25" t="n">
        <f aca="false">ROUND(INDEX(เลเวล!$F$5:$F$104,C41)*IF(D41="บอส",ตั้งค่า!$C$32,1),0)</f>
        <v>66</v>
      </c>
      <c r="J41" s="25" t="n">
        <f aca="false">ROUND(INDEX(เลเวล!$I$5:$I$104,C41)*IF(D41="บอส",ตั้งค่า!$C$31,1),0)</f>
        <v>360</v>
      </c>
      <c r="K41" s="25" t="n">
        <f aca="false">ROUND(INDEX(เลเวล!$M$5:$M$104,C41)*G41*IF(D41="บอส",ตั้งค่า!$C$30,1),0)</f>
        <v>2683</v>
      </c>
      <c r="L41" s="25" t="n">
        <f aca="false">ROUND(INDEX(เลเวล!$N$5:$N$104,C41)*IF(D41="บอส",ตั้งค่า!$C$33,1),0)</f>
        <v>894</v>
      </c>
      <c r="M41" s="25" t="n">
        <f aca="false">ROUND(INDEX(เลเวล!$O$5:$O$104,C41)*IF(D41="บอส",ตั้งค่า!$C$33,1),0)</f>
        <v>1342</v>
      </c>
      <c r="N41" s="25" t="n">
        <f aca="false">ROUNDUP(H41/INDEX(เลเวล!$G$5:$G$104,C41),0)</f>
        <v>6</v>
      </c>
      <c r="O41" s="3"/>
    </row>
    <row r="42" customFormat="false" ht="15" hidden="false" customHeight="false" outlineLevel="0" collapsed="false">
      <c r="A42" s="30" t="s">
        <v>200</v>
      </c>
      <c r="B42" s="31" t="s">
        <v>191</v>
      </c>
      <c r="C42" s="31" t="n">
        <v>100</v>
      </c>
      <c r="D42" s="31" t="s">
        <v>136</v>
      </c>
      <c r="E42" s="31" t="s">
        <v>131</v>
      </c>
      <c r="F42" s="29" t="n">
        <v>1</v>
      </c>
      <c r="G42" s="29" t="n">
        <v>1</v>
      </c>
      <c r="H42" s="25" t="n">
        <f aca="false">ROUND(INDEX(เลเวล!$H$5:$H$104,C42)*F42*IF(D42="บอส",ตั้งค่า!$C$29,1),0)</f>
        <v>226640</v>
      </c>
      <c r="I42" s="25" t="n">
        <f aca="false">ROUND(INDEX(เลเวล!$F$5:$F$104,C42)*IF(D42="บอส",ตั้งค่า!$C$32,1),0)</f>
        <v>150</v>
      </c>
      <c r="J42" s="25" t="n">
        <f aca="false">ROUND(INDEX(เลเวล!$I$5:$I$104,C42)*IF(D42="บอส",ตั้งค่า!$C$31,1),0)</f>
        <v>993</v>
      </c>
      <c r="K42" s="25" t="n">
        <f aca="false">ROUND(INDEX(เลเวล!$M$5:$M$104,C42)*G42*IF(D42="บอส",ตั้งค่า!$C$30,1),0)</f>
        <v>58250</v>
      </c>
      <c r="L42" s="25" t="n">
        <f aca="false">ROUND(INDEX(เลเวล!$N$5:$N$104,C42)*IF(D42="บอส",ตั้งค่า!$C$33,1),0)</f>
        <v>18640</v>
      </c>
      <c r="M42" s="25" t="n">
        <f aca="false">ROUND(INDEX(เลเวล!$O$5:$O$104,C42)*IF(D42="บอส",ตั้งค่า!$C$33,1),0)</f>
        <v>27960</v>
      </c>
      <c r="N42" s="25" t="n">
        <f aca="false">ROUNDUP(H42/INDEX(เลเวล!$G$5:$G$104,C42),0)</f>
        <v>160</v>
      </c>
      <c r="O42" s="3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2026-09-29T11:40:36Z</dcterms:created>
  <dc:creator>openpyxl</dc:creator>
  <dc:description/>
  <dc:language>en-US</dc:language>
  <cp:lastModifiedBy/>
  <dcterms:modified xsi:type="dcterms:W3CDTF">2026-09-29T11:40:39Z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